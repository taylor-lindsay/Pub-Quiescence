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linds02/Desktop/Quiescence/"/>
    </mc:Choice>
  </mc:AlternateContent>
  <xr:revisionPtr revIDLastSave="0" documentId="13_ncr:1_{BFB8E67B-6EB2-4C45-BA9B-62B34C9920C1}" xr6:coauthVersionLast="47" xr6:coauthVersionMax="47" xr10:uidLastSave="{00000000-0000-0000-0000-000000000000}"/>
  <bookViews>
    <workbookView xWindow="220" yWindow="760" windowWidth="16820" windowHeight="14320" xr2:uid="{A1641D38-9828-CC4A-9480-C6A7E189825B}"/>
  </bookViews>
  <sheets>
    <sheet name="Sheet1" sheetId="1" r:id="rId1"/>
    <sheet name="meta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2" i="1"/>
  <c r="L3" i="1"/>
  <c r="L2" i="1"/>
  <c r="J143" i="1"/>
  <c r="J144" i="1"/>
  <c r="J145" i="1"/>
  <c r="J146" i="1"/>
  <c r="J147" i="1"/>
  <c r="J148" i="1"/>
  <c r="J149" i="1"/>
  <c r="J150" i="1"/>
  <c r="J151" i="1"/>
  <c r="J302" i="1"/>
  <c r="J303" i="1"/>
  <c r="J304" i="1"/>
  <c r="J305" i="1"/>
  <c r="J306" i="1"/>
  <c r="J307" i="1"/>
  <c r="J308" i="1"/>
  <c r="J309" i="1"/>
  <c r="J310" i="1"/>
  <c r="J311" i="1"/>
  <c r="J152" i="1"/>
  <c r="J153" i="1"/>
  <c r="J154" i="1"/>
  <c r="J155" i="1"/>
  <c r="J156" i="1"/>
  <c r="J157" i="1"/>
  <c r="J158" i="1"/>
  <c r="J159" i="1"/>
  <c r="J160" i="1"/>
  <c r="J161" i="1"/>
  <c r="J312" i="1"/>
  <c r="J313" i="1"/>
  <c r="J314" i="1"/>
  <c r="J315" i="1"/>
  <c r="J316" i="1"/>
  <c r="J317" i="1"/>
  <c r="J318" i="1"/>
  <c r="J319" i="1"/>
  <c r="J320" i="1"/>
  <c r="J321" i="1"/>
  <c r="J123" i="1"/>
  <c r="J124" i="1"/>
  <c r="J125" i="1"/>
  <c r="J126" i="1"/>
  <c r="J127" i="1"/>
  <c r="J128" i="1"/>
  <c r="J129" i="1"/>
  <c r="J130" i="1"/>
  <c r="J131" i="1"/>
  <c r="J282" i="1"/>
  <c r="J283" i="1"/>
  <c r="J284" i="1"/>
  <c r="J285" i="1"/>
  <c r="J286" i="1"/>
  <c r="J287" i="1"/>
  <c r="J288" i="1"/>
  <c r="J289" i="1"/>
  <c r="J290" i="1"/>
  <c r="J291" i="1"/>
  <c r="J132" i="1"/>
  <c r="J133" i="1"/>
  <c r="J134" i="1"/>
  <c r="J135" i="1"/>
  <c r="J136" i="1"/>
  <c r="J137" i="1"/>
  <c r="J138" i="1"/>
  <c r="J139" i="1"/>
  <c r="J140" i="1"/>
  <c r="J141" i="1"/>
  <c r="J292" i="1"/>
  <c r="J293" i="1"/>
  <c r="J294" i="1"/>
  <c r="J295" i="1"/>
  <c r="J296" i="1"/>
  <c r="J297" i="1"/>
  <c r="J298" i="1"/>
  <c r="J299" i="1"/>
  <c r="J300" i="1"/>
  <c r="J301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83" i="1"/>
  <c r="J84" i="1"/>
  <c r="J85" i="1"/>
  <c r="J86" i="1"/>
  <c r="J87" i="1"/>
  <c r="J88" i="1"/>
  <c r="J89" i="1"/>
  <c r="J90" i="1"/>
  <c r="J91" i="1"/>
  <c r="J242" i="1"/>
  <c r="J243" i="1"/>
  <c r="J244" i="1"/>
  <c r="J245" i="1"/>
  <c r="J246" i="1"/>
  <c r="J247" i="1"/>
  <c r="J248" i="1"/>
  <c r="J249" i="1"/>
  <c r="J250" i="1"/>
  <c r="J251" i="1"/>
  <c r="J92" i="1"/>
  <c r="J93" i="1"/>
  <c r="J94" i="1"/>
  <c r="J95" i="1"/>
  <c r="J96" i="1"/>
  <c r="J97" i="1"/>
  <c r="J98" i="1"/>
  <c r="J99" i="1"/>
  <c r="J100" i="1"/>
  <c r="J101" i="1"/>
  <c r="J252" i="1"/>
  <c r="J253" i="1"/>
  <c r="J254" i="1"/>
  <c r="J255" i="1"/>
  <c r="J256" i="1"/>
  <c r="J257" i="1"/>
  <c r="J258" i="1"/>
  <c r="J259" i="1"/>
  <c r="J260" i="1"/>
  <c r="J261" i="1"/>
  <c r="J63" i="1"/>
  <c r="J64" i="1"/>
  <c r="J65" i="1"/>
  <c r="J66" i="1"/>
  <c r="J67" i="1"/>
  <c r="J68" i="1"/>
  <c r="J69" i="1"/>
  <c r="J70" i="1"/>
  <c r="J71" i="1"/>
  <c r="J222" i="1"/>
  <c r="J223" i="1"/>
  <c r="J224" i="1"/>
  <c r="J225" i="1"/>
  <c r="J226" i="1"/>
  <c r="J227" i="1"/>
  <c r="J228" i="1"/>
  <c r="J229" i="1"/>
  <c r="J230" i="1"/>
  <c r="J231" i="1"/>
  <c r="J72" i="1"/>
  <c r="J73" i="1"/>
  <c r="J74" i="1"/>
  <c r="J75" i="1"/>
  <c r="J76" i="1"/>
  <c r="J77" i="1"/>
  <c r="J78" i="1"/>
  <c r="J79" i="1"/>
  <c r="J80" i="1"/>
  <c r="J81" i="1"/>
  <c r="J232" i="1"/>
  <c r="J233" i="1"/>
  <c r="J234" i="1"/>
  <c r="J235" i="1"/>
  <c r="J236" i="1"/>
  <c r="J237" i="1"/>
  <c r="J238" i="1"/>
  <c r="J239" i="1"/>
  <c r="J240" i="1"/>
  <c r="J241" i="1"/>
  <c r="J43" i="1"/>
  <c r="J44" i="1"/>
  <c r="J45" i="1"/>
  <c r="J46" i="1"/>
  <c r="J47" i="1"/>
  <c r="J48" i="1"/>
  <c r="J49" i="1"/>
  <c r="J50" i="1"/>
  <c r="J51" i="1"/>
  <c r="J202" i="1"/>
  <c r="J203" i="1"/>
  <c r="J204" i="1"/>
  <c r="J205" i="1"/>
  <c r="J206" i="1"/>
  <c r="J207" i="1"/>
  <c r="J208" i="1"/>
  <c r="J209" i="1"/>
  <c r="J210" i="1"/>
  <c r="J211" i="1"/>
  <c r="J52" i="1"/>
  <c r="J53" i="1"/>
  <c r="J54" i="1"/>
  <c r="J55" i="1"/>
  <c r="J56" i="1"/>
  <c r="J57" i="1"/>
  <c r="J58" i="1"/>
  <c r="J59" i="1"/>
  <c r="J60" i="1"/>
  <c r="J61" i="1"/>
  <c r="J212" i="1"/>
  <c r="J213" i="1"/>
  <c r="J214" i="1"/>
  <c r="J215" i="1"/>
  <c r="J216" i="1"/>
  <c r="J217" i="1"/>
  <c r="J218" i="1"/>
  <c r="J219" i="1"/>
  <c r="J220" i="1"/>
  <c r="J221" i="1"/>
  <c r="J142" i="1"/>
  <c r="J122" i="1"/>
  <c r="J262" i="1"/>
  <c r="J82" i="1"/>
  <c r="J62" i="1"/>
  <c r="J42" i="1"/>
  <c r="G142" i="1"/>
  <c r="G143" i="1"/>
  <c r="G144" i="1"/>
  <c r="G145" i="1"/>
  <c r="G146" i="1"/>
  <c r="G147" i="1"/>
  <c r="G148" i="1"/>
  <c r="G149" i="1"/>
  <c r="G150" i="1"/>
  <c r="G151" i="1"/>
  <c r="G302" i="1"/>
  <c r="G303" i="1"/>
  <c r="G304" i="1"/>
  <c r="G305" i="1"/>
  <c r="G306" i="1"/>
  <c r="G307" i="1"/>
  <c r="G308" i="1"/>
  <c r="G309" i="1"/>
  <c r="G310" i="1"/>
  <c r="G311" i="1"/>
  <c r="G152" i="1"/>
  <c r="G153" i="1"/>
  <c r="G154" i="1"/>
  <c r="G155" i="1"/>
  <c r="G156" i="1"/>
  <c r="G157" i="1"/>
  <c r="G158" i="1"/>
  <c r="G159" i="1"/>
  <c r="G160" i="1"/>
  <c r="G161" i="1"/>
  <c r="G312" i="1"/>
  <c r="G313" i="1"/>
  <c r="G314" i="1"/>
  <c r="G315" i="1"/>
  <c r="G316" i="1"/>
  <c r="G317" i="1"/>
  <c r="G318" i="1"/>
  <c r="G319" i="1"/>
  <c r="G320" i="1"/>
  <c r="G321" i="1"/>
  <c r="G297" i="1"/>
  <c r="G298" i="1"/>
  <c r="G299" i="1"/>
  <c r="G300" i="1"/>
  <c r="G301" i="1"/>
  <c r="G296" i="1"/>
  <c r="G130" i="1"/>
  <c r="G131" i="1"/>
  <c r="G282" i="1"/>
  <c r="G121" i="1"/>
  <c r="G122" i="1"/>
  <c r="G123" i="1"/>
  <c r="G124" i="1"/>
  <c r="G125" i="1"/>
  <c r="G126" i="1"/>
  <c r="G127" i="1"/>
  <c r="G128" i="1"/>
  <c r="G129" i="1"/>
  <c r="G283" i="1"/>
  <c r="G284" i="1"/>
  <c r="G285" i="1"/>
  <c r="G286" i="1"/>
  <c r="G287" i="1"/>
  <c r="G288" i="1"/>
  <c r="G289" i="1"/>
  <c r="G290" i="1"/>
  <c r="G291" i="1"/>
  <c r="G132" i="1"/>
  <c r="G133" i="1"/>
  <c r="G134" i="1"/>
  <c r="G135" i="1"/>
  <c r="G136" i="1"/>
  <c r="G137" i="1"/>
  <c r="G138" i="1"/>
  <c r="G139" i="1"/>
  <c r="G140" i="1"/>
  <c r="G141" i="1"/>
  <c r="G292" i="1"/>
  <c r="G293" i="1"/>
  <c r="G294" i="1"/>
  <c r="G295" i="1"/>
  <c r="G112" i="1"/>
  <c r="G113" i="1"/>
  <c r="G114" i="1"/>
  <c r="G115" i="1"/>
  <c r="G116" i="1"/>
  <c r="G117" i="1"/>
  <c r="G118" i="1"/>
  <c r="G119" i="1"/>
  <c r="G120" i="1"/>
  <c r="G111" i="1"/>
  <c r="G110" i="1"/>
  <c r="G109" i="1"/>
  <c r="G108" i="1"/>
  <c r="G107" i="1"/>
  <c r="G106" i="1"/>
  <c r="G105" i="1"/>
  <c r="G104" i="1"/>
  <c r="G103" i="1"/>
  <c r="G102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59" i="1"/>
  <c r="G258" i="1"/>
  <c r="G257" i="1"/>
  <c r="G256" i="1"/>
  <c r="G255" i="1"/>
  <c r="G254" i="1"/>
  <c r="G253" i="1"/>
  <c r="G252" i="1"/>
  <c r="G101" i="1"/>
  <c r="G100" i="1"/>
  <c r="G99" i="1"/>
  <c r="G98" i="1"/>
  <c r="G97" i="1"/>
  <c r="G96" i="1"/>
  <c r="G95" i="1"/>
  <c r="G94" i="1"/>
  <c r="G93" i="1"/>
  <c r="G92" i="1"/>
  <c r="G251" i="1"/>
  <c r="G250" i="1"/>
  <c r="G249" i="1"/>
  <c r="G248" i="1"/>
  <c r="G247" i="1"/>
  <c r="G246" i="1"/>
  <c r="G245" i="1"/>
  <c r="G244" i="1"/>
  <c r="G243" i="1"/>
  <c r="G242" i="1"/>
  <c r="G91" i="1"/>
  <c r="G90" i="1"/>
  <c r="G89" i="1"/>
  <c r="G88" i="1"/>
  <c r="G87" i="1"/>
  <c r="G86" i="1"/>
  <c r="G85" i="1"/>
  <c r="G84" i="1"/>
  <c r="G83" i="1"/>
  <c r="G82" i="1"/>
  <c r="G241" i="1"/>
  <c r="G240" i="1"/>
  <c r="G239" i="1"/>
  <c r="G238" i="1"/>
  <c r="G237" i="1"/>
  <c r="G236" i="1"/>
  <c r="G235" i="1"/>
  <c r="G234" i="1"/>
  <c r="G233" i="1"/>
  <c r="G232" i="1"/>
  <c r="G80" i="1"/>
  <c r="G81" i="1"/>
  <c r="G79" i="1"/>
  <c r="G78" i="1"/>
  <c r="G77" i="1"/>
  <c r="G76" i="1"/>
  <c r="G75" i="1"/>
  <c r="G74" i="1"/>
  <c r="G73" i="1"/>
  <c r="G72" i="1"/>
  <c r="G62" i="1"/>
  <c r="G63" i="1"/>
  <c r="G64" i="1"/>
  <c r="G65" i="1"/>
  <c r="G66" i="1"/>
  <c r="G67" i="1"/>
  <c r="G68" i="1"/>
  <c r="G69" i="1"/>
  <c r="G70" i="1"/>
  <c r="G71" i="1"/>
  <c r="G222" i="1"/>
  <c r="G223" i="1"/>
  <c r="G224" i="1"/>
  <c r="G225" i="1"/>
  <c r="G226" i="1"/>
  <c r="G227" i="1"/>
  <c r="G228" i="1"/>
  <c r="G229" i="1"/>
  <c r="G230" i="1"/>
  <c r="G231" i="1"/>
  <c r="G215" i="1"/>
  <c r="G216" i="1"/>
  <c r="G217" i="1"/>
  <c r="G218" i="1"/>
  <c r="G219" i="1"/>
  <c r="G220" i="1"/>
  <c r="G221" i="1"/>
  <c r="G42" i="1"/>
  <c r="G43" i="1"/>
  <c r="G44" i="1"/>
  <c r="G45" i="1"/>
  <c r="G46" i="1"/>
  <c r="G47" i="1"/>
  <c r="G48" i="1"/>
  <c r="G49" i="1"/>
  <c r="G50" i="1"/>
  <c r="G51" i="1"/>
  <c r="G202" i="1"/>
  <c r="G203" i="1"/>
  <c r="G204" i="1"/>
  <c r="G205" i="1"/>
  <c r="G206" i="1"/>
  <c r="G207" i="1"/>
  <c r="G208" i="1"/>
  <c r="G209" i="1"/>
  <c r="G210" i="1"/>
  <c r="G211" i="1"/>
  <c r="G52" i="1"/>
  <c r="G53" i="1"/>
  <c r="G54" i="1"/>
  <c r="G55" i="1"/>
  <c r="G56" i="1"/>
  <c r="G57" i="1"/>
  <c r="G58" i="1"/>
  <c r="G59" i="1"/>
  <c r="G60" i="1"/>
  <c r="G61" i="1"/>
  <c r="G212" i="1"/>
  <c r="G213" i="1"/>
  <c r="G214" i="1"/>
  <c r="G22" i="1"/>
  <c r="G23" i="1"/>
  <c r="G24" i="1"/>
  <c r="G25" i="1"/>
  <c r="G26" i="1"/>
  <c r="G27" i="1"/>
  <c r="G28" i="1"/>
  <c r="G29" i="1"/>
  <c r="G30" i="1"/>
  <c r="G31" i="1"/>
  <c r="G182" i="1"/>
  <c r="G183" i="1"/>
  <c r="G184" i="1"/>
  <c r="G185" i="1"/>
  <c r="G186" i="1"/>
  <c r="G187" i="1"/>
  <c r="G188" i="1"/>
  <c r="G189" i="1"/>
  <c r="G190" i="1"/>
  <c r="G191" i="1"/>
  <c r="G32" i="1"/>
  <c r="G33" i="1"/>
  <c r="G34" i="1"/>
  <c r="G35" i="1"/>
  <c r="G36" i="1"/>
  <c r="G37" i="1"/>
  <c r="G38" i="1"/>
  <c r="G39" i="1"/>
  <c r="G40" i="1"/>
  <c r="G41" i="1"/>
  <c r="G192" i="1"/>
  <c r="G193" i="1"/>
  <c r="G194" i="1"/>
  <c r="G195" i="1"/>
  <c r="G196" i="1"/>
  <c r="G197" i="1"/>
  <c r="G198" i="1"/>
  <c r="G199" i="1"/>
  <c r="G200" i="1"/>
  <c r="G201" i="1"/>
  <c r="G3" i="1"/>
  <c r="G4" i="1"/>
  <c r="G5" i="1"/>
  <c r="G6" i="1"/>
  <c r="G7" i="1"/>
  <c r="G8" i="1"/>
  <c r="G9" i="1"/>
  <c r="G10" i="1"/>
  <c r="G11" i="1"/>
  <c r="G162" i="1"/>
  <c r="G163" i="1"/>
  <c r="G164" i="1"/>
  <c r="G165" i="1"/>
  <c r="G166" i="1"/>
  <c r="G167" i="1"/>
  <c r="G168" i="1"/>
  <c r="G169" i="1"/>
  <c r="G170" i="1"/>
  <c r="G171" i="1"/>
  <c r="G12" i="1"/>
  <c r="G13" i="1"/>
  <c r="G14" i="1"/>
  <c r="G15" i="1"/>
  <c r="G16" i="1"/>
  <c r="G17" i="1"/>
  <c r="G18" i="1"/>
  <c r="G19" i="1"/>
  <c r="G20" i="1"/>
  <c r="G21" i="1"/>
  <c r="G172" i="1"/>
  <c r="G173" i="1"/>
  <c r="G174" i="1"/>
  <c r="G175" i="1"/>
  <c r="G176" i="1"/>
  <c r="G177" i="1"/>
  <c r="G178" i="1"/>
  <c r="G179" i="1"/>
  <c r="G180" i="1"/>
  <c r="G181" i="1"/>
  <c r="G2" i="1"/>
</calcChain>
</file>

<file path=xl/sharedStrings.xml><?xml version="1.0" encoding="utf-8"?>
<sst xmlns="http://schemas.openxmlformats.org/spreadsheetml/2006/main" count="1014" uniqueCount="54">
  <si>
    <t>Date</t>
  </si>
  <si>
    <t>tide</t>
  </si>
  <si>
    <t>initials</t>
  </si>
  <si>
    <t>depth</t>
  </si>
  <si>
    <t>ecotype</t>
  </si>
  <si>
    <t>rating</t>
  </si>
  <si>
    <t>corrected_depth</t>
  </si>
  <si>
    <t>TL</t>
  </si>
  <si>
    <t>Apo</t>
  </si>
  <si>
    <t>Sym</t>
  </si>
  <si>
    <t>Max water temp</t>
  </si>
  <si>
    <t>min water temp</t>
  </si>
  <si>
    <t>sky_conditions</t>
  </si>
  <si>
    <t>water_conditions</t>
  </si>
  <si>
    <t>date</t>
  </si>
  <si>
    <t>overcast, not much wind</t>
  </si>
  <si>
    <t>4-6ft vis, flat seas</t>
  </si>
  <si>
    <t>JG</t>
  </si>
  <si>
    <t>depth_cat</t>
  </si>
  <si>
    <t>deep</t>
  </si>
  <si>
    <t>shallow</t>
  </si>
  <si>
    <t>Dive time</t>
  </si>
  <si>
    <t xml:space="preserve">10:00-10:30am </t>
  </si>
  <si>
    <t xml:space="preserve">6-10ft vis, some water movement from wind day before </t>
  </si>
  <si>
    <t>mostly calm day-of, sunny</t>
  </si>
  <si>
    <t>11:00am</t>
  </si>
  <si>
    <t>2:30pm-3pm</t>
  </si>
  <si>
    <t>Coral observations</t>
  </si>
  <si>
    <t xml:space="preserve">First time corals are fully pulled in, they're moving very slowly </t>
  </si>
  <si>
    <t xml:space="preserve">overcast, no wind, snow on ground </t>
  </si>
  <si>
    <t>6-10ft vis, pretty calm</t>
  </si>
  <si>
    <t xml:space="preserve">10-10:30am </t>
  </si>
  <si>
    <t xml:space="preserve">Sunny, clear, no wind </t>
  </si>
  <si>
    <t>20-25ft vis, BEAUTIFUL colors, minimal swell</t>
  </si>
  <si>
    <t xml:space="preserve">Oral discs clearly inflated on corals in group 3, JG deep Sym samples may not have been sym </t>
  </si>
  <si>
    <t xml:space="preserve">2-3pm </t>
  </si>
  <si>
    <t>Clear, somewhat windy, air temp in 50s</t>
  </si>
  <si>
    <t xml:space="preserve">15-20ft vis, strong current </t>
  </si>
  <si>
    <t xml:space="preserve">Corals moving more quickly, very little quiescence </t>
  </si>
  <si>
    <t>https://www.usharbors.com/harbor/rhode-island/jamestown-ri/tides/</t>
  </si>
  <si>
    <t xml:space="preserve">Cloudy but warming up ~50s </t>
  </si>
  <si>
    <t>10ft vis, strong current</t>
  </si>
  <si>
    <t xml:space="preserve">? </t>
  </si>
  <si>
    <t>air temp 40s, wind from the south</t>
  </si>
  <si>
    <t xml:space="preserve">20-30ft vis, some current but overall nice </t>
  </si>
  <si>
    <t xml:space="preserve">we observed some corals with retracted polyps but I don't believe they were still quiescing </t>
  </si>
  <si>
    <t>?</t>
  </si>
  <si>
    <t xml:space="preserve">Wind from the south, air temps in 70s </t>
  </si>
  <si>
    <t xml:space="preserve">corals were much more open, moved quickly </t>
  </si>
  <si>
    <t>sampling_day</t>
  </si>
  <si>
    <t>days_since_new_year</t>
  </si>
  <si>
    <t xml:space="preserve">ft to m </t>
  </si>
  <si>
    <t>mean</t>
  </si>
  <si>
    <t>JG*3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</si>
</sst>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BB83-0BD8-644B-B857-9BAC980EE0E2}">
  <dimension ref="A1:N321"/>
  <sheetViews>
    <sheetView tabSelected="1" topLeftCell="A289" workbookViewId="0">
      <selection activeCell="G301" sqref="G301"/>
    </sheetView>
  </sheetViews>
  <sheetFormatPr baseColWidth="10" defaultRowHeight="16" x14ac:dyDescent="0.2"/>
  <cols>
    <col min="1" max="1" width="7.5" bestFit="1" customWidth="1"/>
    <col min="2" max="2" width="5.1640625" bestFit="1" customWidth="1"/>
    <col min="3" max="3" width="6.6640625" bestFit="1" customWidth="1"/>
    <col min="4" max="4" width="7.6640625" bestFit="1" customWidth="1"/>
    <col min="5" max="6" width="5.83203125" bestFit="1" customWidth="1"/>
    <col min="7" max="7" width="14.6640625" bestFit="1" customWidth="1"/>
    <col min="8" max="8" width="9.33203125" bestFit="1" customWidth="1"/>
    <col min="9" max="9" width="12" bestFit="1" customWidth="1"/>
    <col min="10" max="10" width="18.6640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  <c r="G1" t="s">
        <v>6</v>
      </c>
      <c r="H1" t="s">
        <v>18</v>
      </c>
      <c r="I1" t="s">
        <v>49</v>
      </c>
      <c r="J1" t="s">
        <v>50</v>
      </c>
      <c r="L1" t="s">
        <v>52</v>
      </c>
      <c r="M1" t="s">
        <v>51</v>
      </c>
    </row>
    <row r="2" spans="1:14" x14ac:dyDescent="0.2">
      <c r="A2" s="1">
        <v>45673</v>
      </c>
      <c r="B2">
        <v>2.25</v>
      </c>
      <c r="C2" t="s">
        <v>7</v>
      </c>
      <c r="D2" t="s">
        <v>8</v>
      </c>
      <c r="E2">
        <v>44</v>
      </c>
      <c r="F2">
        <v>0</v>
      </c>
      <c r="G2">
        <f t="shared" ref="G2:G65" si="0">E2-B2</f>
        <v>41.75</v>
      </c>
      <c r="H2" t="s">
        <v>19</v>
      </c>
      <c r="I2">
        <v>1</v>
      </c>
      <c r="J2">
        <v>16</v>
      </c>
      <c r="L2">
        <f>AVERAGE(G2:G161)</f>
        <v>38.21875</v>
      </c>
      <c r="M2" s="2">
        <f>L2*0.3048</f>
        <v>11.649075</v>
      </c>
      <c r="N2" t="s">
        <v>19</v>
      </c>
    </row>
    <row r="3" spans="1:14" x14ac:dyDescent="0.2">
      <c r="A3" s="1">
        <v>45673</v>
      </c>
      <c r="B3">
        <v>2.25</v>
      </c>
      <c r="C3" t="s">
        <v>7</v>
      </c>
      <c r="D3" t="s">
        <v>8</v>
      </c>
      <c r="E3">
        <v>42</v>
      </c>
      <c r="F3">
        <v>0</v>
      </c>
      <c r="G3">
        <f t="shared" si="0"/>
        <v>39.75</v>
      </c>
      <c r="H3" t="s">
        <v>19</v>
      </c>
      <c r="I3">
        <v>1</v>
      </c>
      <c r="J3">
        <v>16</v>
      </c>
      <c r="L3">
        <f>AVERAGE(G162:G321)</f>
        <v>19.606249999999999</v>
      </c>
      <c r="M3" s="2">
        <f>L3*0.3048</f>
        <v>5.9759849999999997</v>
      </c>
      <c r="N3" t="s">
        <v>20</v>
      </c>
    </row>
    <row r="4" spans="1:14" x14ac:dyDescent="0.2">
      <c r="A4" s="1">
        <v>45673</v>
      </c>
      <c r="B4">
        <v>2.25</v>
      </c>
      <c r="C4" t="s">
        <v>7</v>
      </c>
      <c r="D4" t="s">
        <v>8</v>
      </c>
      <c r="E4">
        <v>42</v>
      </c>
      <c r="F4">
        <v>0</v>
      </c>
      <c r="G4">
        <f t="shared" si="0"/>
        <v>39.75</v>
      </c>
      <c r="H4" t="s">
        <v>19</v>
      </c>
      <c r="I4">
        <v>1</v>
      </c>
      <c r="J4">
        <v>16</v>
      </c>
    </row>
    <row r="5" spans="1:14" x14ac:dyDescent="0.2">
      <c r="A5" s="1">
        <v>45673</v>
      </c>
      <c r="B5">
        <v>2.25</v>
      </c>
      <c r="C5" t="s">
        <v>7</v>
      </c>
      <c r="D5" t="s">
        <v>8</v>
      </c>
      <c r="E5">
        <v>42</v>
      </c>
      <c r="F5">
        <v>0</v>
      </c>
      <c r="G5">
        <f t="shared" si="0"/>
        <v>39.75</v>
      </c>
      <c r="H5" t="s">
        <v>19</v>
      </c>
      <c r="I5">
        <v>1</v>
      </c>
      <c r="J5">
        <v>16</v>
      </c>
    </row>
    <row r="6" spans="1:14" x14ac:dyDescent="0.2">
      <c r="A6" s="1">
        <v>45673</v>
      </c>
      <c r="B6">
        <v>2.25</v>
      </c>
      <c r="C6" t="s">
        <v>7</v>
      </c>
      <c r="D6" t="s">
        <v>8</v>
      </c>
      <c r="E6">
        <v>41</v>
      </c>
      <c r="F6">
        <v>0</v>
      </c>
      <c r="G6">
        <f t="shared" si="0"/>
        <v>38.75</v>
      </c>
      <c r="H6" t="s">
        <v>19</v>
      </c>
      <c r="I6">
        <v>1</v>
      </c>
      <c r="J6">
        <v>16</v>
      </c>
    </row>
    <row r="7" spans="1:14" x14ac:dyDescent="0.2">
      <c r="A7" s="1">
        <v>45673</v>
      </c>
      <c r="B7">
        <v>2.25</v>
      </c>
      <c r="C7" t="s">
        <v>7</v>
      </c>
      <c r="D7" t="s">
        <v>9</v>
      </c>
      <c r="E7">
        <v>43</v>
      </c>
      <c r="F7">
        <v>0</v>
      </c>
      <c r="G7">
        <f t="shared" si="0"/>
        <v>40.75</v>
      </c>
      <c r="H7" t="s">
        <v>19</v>
      </c>
      <c r="I7">
        <v>1</v>
      </c>
      <c r="J7">
        <v>16</v>
      </c>
    </row>
    <row r="8" spans="1:14" x14ac:dyDescent="0.2">
      <c r="A8" s="1">
        <v>45673</v>
      </c>
      <c r="B8">
        <v>2.25</v>
      </c>
      <c r="C8" t="s">
        <v>7</v>
      </c>
      <c r="D8" t="s">
        <v>9</v>
      </c>
      <c r="E8">
        <v>42</v>
      </c>
      <c r="F8">
        <v>0</v>
      </c>
      <c r="G8">
        <f t="shared" si="0"/>
        <v>39.75</v>
      </c>
      <c r="H8" t="s">
        <v>19</v>
      </c>
      <c r="I8">
        <v>1</v>
      </c>
      <c r="J8">
        <v>16</v>
      </c>
    </row>
    <row r="9" spans="1:14" x14ac:dyDescent="0.2">
      <c r="A9" s="1">
        <v>45673</v>
      </c>
      <c r="B9">
        <v>2.25</v>
      </c>
      <c r="C9" t="s">
        <v>7</v>
      </c>
      <c r="D9" t="s">
        <v>9</v>
      </c>
      <c r="E9">
        <v>42</v>
      </c>
      <c r="F9">
        <v>0</v>
      </c>
      <c r="G9">
        <f t="shared" si="0"/>
        <v>39.75</v>
      </c>
      <c r="H9" t="s">
        <v>19</v>
      </c>
      <c r="I9">
        <v>1</v>
      </c>
      <c r="J9">
        <v>16</v>
      </c>
    </row>
    <row r="10" spans="1:14" x14ac:dyDescent="0.2">
      <c r="A10" s="1">
        <v>45673</v>
      </c>
      <c r="B10">
        <v>2.25</v>
      </c>
      <c r="C10" t="s">
        <v>7</v>
      </c>
      <c r="D10" t="s">
        <v>9</v>
      </c>
      <c r="E10">
        <v>42</v>
      </c>
      <c r="F10">
        <v>0</v>
      </c>
      <c r="G10">
        <f t="shared" si="0"/>
        <v>39.75</v>
      </c>
      <c r="H10" t="s">
        <v>19</v>
      </c>
      <c r="I10">
        <v>1</v>
      </c>
      <c r="J10">
        <v>16</v>
      </c>
    </row>
    <row r="11" spans="1:14" x14ac:dyDescent="0.2">
      <c r="A11" s="1">
        <v>45673</v>
      </c>
      <c r="B11">
        <v>2.25</v>
      </c>
      <c r="C11" t="s">
        <v>7</v>
      </c>
      <c r="D11" t="s">
        <v>9</v>
      </c>
      <c r="E11">
        <v>41</v>
      </c>
      <c r="F11">
        <v>0</v>
      </c>
      <c r="G11">
        <f t="shared" si="0"/>
        <v>38.75</v>
      </c>
      <c r="H11" t="s">
        <v>19</v>
      </c>
      <c r="I11">
        <v>1</v>
      </c>
      <c r="J11">
        <v>16</v>
      </c>
    </row>
    <row r="12" spans="1:14" x14ac:dyDescent="0.2">
      <c r="A12" s="1">
        <v>45673</v>
      </c>
      <c r="B12">
        <v>2.25</v>
      </c>
      <c r="C12" t="s">
        <v>17</v>
      </c>
      <c r="D12" t="s">
        <v>8</v>
      </c>
      <c r="E12">
        <v>44</v>
      </c>
      <c r="F12">
        <v>0</v>
      </c>
      <c r="G12">
        <f t="shared" si="0"/>
        <v>41.75</v>
      </c>
      <c r="H12" t="s">
        <v>19</v>
      </c>
      <c r="I12">
        <v>1</v>
      </c>
      <c r="J12">
        <v>16</v>
      </c>
    </row>
    <row r="13" spans="1:14" x14ac:dyDescent="0.2">
      <c r="A13" s="1">
        <v>45673</v>
      </c>
      <c r="B13">
        <v>2.25</v>
      </c>
      <c r="C13" t="s">
        <v>17</v>
      </c>
      <c r="D13" t="s">
        <v>8</v>
      </c>
      <c r="E13">
        <v>44</v>
      </c>
      <c r="F13">
        <v>0</v>
      </c>
      <c r="G13">
        <f t="shared" si="0"/>
        <v>41.75</v>
      </c>
      <c r="H13" t="s">
        <v>19</v>
      </c>
      <c r="I13">
        <v>1</v>
      </c>
      <c r="J13">
        <v>16</v>
      </c>
    </row>
    <row r="14" spans="1:14" x14ac:dyDescent="0.2">
      <c r="A14" s="1">
        <v>45673</v>
      </c>
      <c r="B14">
        <v>2.25</v>
      </c>
      <c r="C14" t="s">
        <v>17</v>
      </c>
      <c r="D14" t="s">
        <v>8</v>
      </c>
      <c r="E14">
        <v>44</v>
      </c>
      <c r="F14">
        <v>0</v>
      </c>
      <c r="G14">
        <f t="shared" si="0"/>
        <v>41.75</v>
      </c>
      <c r="H14" t="s">
        <v>19</v>
      </c>
      <c r="I14">
        <v>1</v>
      </c>
      <c r="J14">
        <v>16</v>
      </c>
    </row>
    <row r="15" spans="1:14" x14ac:dyDescent="0.2">
      <c r="A15" s="1">
        <v>45673</v>
      </c>
      <c r="B15">
        <v>2.25</v>
      </c>
      <c r="C15" t="s">
        <v>17</v>
      </c>
      <c r="D15" t="s">
        <v>8</v>
      </c>
      <c r="E15">
        <v>44</v>
      </c>
      <c r="F15">
        <v>0</v>
      </c>
      <c r="G15">
        <f t="shared" si="0"/>
        <v>41.75</v>
      </c>
      <c r="H15" t="s">
        <v>19</v>
      </c>
      <c r="I15">
        <v>1</v>
      </c>
      <c r="J15">
        <v>16</v>
      </c>
    </row>
    <row r="16" spans="1:14" x14ac:dyDescent="0.2">
      <c r="A16" s="1">
        <v>45673</v>
      </c>
      <c r="B16">
        <v>2.25</v>
      </c>
      <c r="C16" t="s">
        <v>17</v>
      </c>
      <c r="D16" t="s">
        <v>8</v>
      </c>
      <c r="E16">
        <v>44</v>
      </c>
      <c r="F16">
        <v>0</v>
      </c>
      <c r="G16">
        <f t="shared" si="0"/>
        <v>41.75</v>
      </c>
      <c r="H16" t="s">
        <v>19</v>
      </c>
      <c r="I16">
        <v>1</v>
      </c>
      <c r="J16">
        <v>16</v>
      </c>
    </row>
    <row r="17" spans="1:10" x14ac:dyDescent="0.2">
      <c r="A17" s="1">
        <v>45673</v>
      </c>
      <c r="B17">
        <v>2.25</v>
      </c>
      <c r="C17" t="s">
        <v>17</v>
      </c>
      <c r="D17" t="s">
        <v>9</v>
      </c>
      <c r="E17">
        <v>44</v>
      </c>
      <c r="F17">
        <v>0</v>
      </c>
      <c r="G17">
        <f t="shared" si="0"/>
        <v>41.75</v>
      </c>
      <c r="H17" t="s">
        <v>19</v>
      </c>
      <c r="I17">
        <v>1</v>
      </c>
      <c r="J17">
        <v>16</v>
      </c>
    </row>
    <row r="18" spans="1:10" x14ac:dyDescent="0.2">
      <c r="A18" s="1">
        <v>45673</v>
      </c>
      <c r="B18">
        <v>2.25</v>
      </c>
      <c r="C18" t="s">
        <v>17</v>
      </c>
      <c r="D18" t="s">
        <v>9</v>
      </c>
      <c r="E18">
        <v>38</v>
      </c>
      <c r="F18">
        <v>0</v>
      </c>
      <c r="G18">
        <f t="shared" si="0"/>
        <v>35.75</v>
      </c>
      <c r="H18" t="s">
        <v>19</v>
      </c>
      <c r="I18">
        <v>1</v>
      </c>
      <c r="J18">
        <v>16</v>
      </c>
    </row>
    <row r="19" spans="1:10" x14ac:dyDescent="0.2">
      <c r="A19" s="1">
        <v>45673</v>
      </c>
      <c r="B19">
        <v>2.25</v>
      </c>
      <c r="C19" t="s">
        <v>17</v>
      </c>
      <c r="D19" t="s">
        <v>9</v>
      </c>
      <c r="E19">
        <v>38</v>
      </c>
      <c r="F19">
        <v>0</v>
      </c>
      <c r="G19">
        <f t="shared" si="0"/>
        <v>35.75</v>
      </c>
      <c r="H19" t="s">
        <v>19</v>
      </c>
      <c r="I19">
        <v>1</v>
      </c>
      <c r="J19">
        <v>16</v>
      </c>
    </row>
    <row r="20" spans="1:10" x14ac:dyDescent="0.2">
      <c r="A20" s="1">
        <v>45673</v>
      </c>
      <c r="B20">
        <v>2.25</v>
      </c>
      <c r="C20" t="s">
        <v>17</v>
      </c>
      <c r="D20" t="s">
        <v>9</v>
      </c>
      <c r="E20">
        <v>38</v>
      </c>
      <c r="F20">
        <v>0</v>
      </c>
      <c r="G20">
        <f t="shared" si="0"/>
        <v>35.75</v>
      </c>
      <c r="H20" t="s">
        <v>19</v>
      </c>
      <c r="I20">
        <v>1</v>
      </c>
      <c r="J20">
        <v>16</v>
      </c>
    </row>
    <row r="21" spans="1:10" x14ac:dyDescent="0.2">
      <c r="A21" s="1">
        <v>45673</v>
      </c>
      <c r="B21">
        <v>2.25</v>
      </c>
      <c r="C21" t="s">
        <v>17</v>
      </c>
      <c r="D21" t="s">
        <v>9</v>
      </c>
      <c r="E21">
        <v>39</v>
      </c>
      <c r="F21">
        <v>0</v>
      </c>
      <c r="G21">
        <f t="shared" si="0"/>
        <v>36.75</v>
      </c>
      <c r="H21" t="s">
        <v>19</v>
      </c>
      <c r="I21">
        <v>1</v>
      </c>
      <c r="J21">
        <v>16</v>
      </c>
    </row>
    <row r="22" spans="1:10" x14ac:dyDescent="0.2">
      <c r="A22" s="1">
        <v>45687</v>
      </c>
      <c r="B22">
        <v>2.5</v>
      </c>
      <c r="C22" t="s">
        <v>7</v>
      </c>
      <c r="D22" t="s">
        <v>8</v>
      </c>
      <c r="E22">
        <v>40</v>
      </c>
      <c r="F22">
        <v>0</v>
      </c>
      <c r="G22">
        <f t="shared" si="0"/>
        <v>37.5</v>
      </c>
      <c r="H22" t="s">
        <v>19</v>
      </c>
      <c r="I22">
        <v>2</v>
      </c>
      <c r="J22">
        <v>30</v>
      </c>
    </row>
    <row r="23" spans="1:10" x14ac:dyDescent="0.2">
      <c r="A23" s="1">
        <v>45687</v>
      </c>
      <c r="B23">
        <v>2.5</v>
      </c>
      <c r="C23" t="s">
        <v>7</v>
      </c>
      <c r="D23" t="s">
        <v>8</v>
      </c>
      <c r="E23">
        <v>39</v>
      </c>
      <c r="F23">
        <v>0</v>
      </c>
      <c r="G23">
        <f t="shared" si="0"/>
        <v>36.5</v>
      </c>
      <c r="H23" t="s">
        <v>19</v>
      </c>
      <c r="I23">
        <v>2</v>
      </c>
      <c r="J23">
        <v>30</v>
      </c>
    </row>
    <row r="24" spans="1:10" x14ac:dyDescent="0.2">
      <c r="A24" s="1">
        <v>45687</v>
      </c>
      <c r="B24">
        <v>2.5</v>
      </c>
      <c r="C24" t="s">
        <v>7</v>
      </c>
      <c r="D24" t="s">
        <v>8</v>
      </c>
      <c r="E24">
        <v>40</v>
      </c>
      <c r="F24">
        <v>0</v>
      </c>
      <c r="G24">
        <f t="shared" si="0"/>
        <v>37.5</v>
      </c>
      <c r="H24" t="s">
        <v>19</v>
      </c>
      <c r="I24">
        <v>2</v>
      </c>
      <c r="J24">
        <v>30</v>
      </c>
    </row>
    <row r="25" spans="1:10" x14ac:dyDescent="0.2">
      <c r="A25" s="1">
        <v>45687</v>
      </c>
      <c r="B25">
        <v>2.5</v>
      </c>
      <c r="C25" t="s">
        <v>7</v>
      </c>
      <c r="D25" t="s">
        <v>8</v>
      </c>
      <c r="E25">
        <v>41</v>
      </c>
      <c r="F25">
        <v>0</v>
      </c>
      <c r="G25">
        <f t="shared" si="0"/>
        <v>38.5</v>
      </c>
      <c r="H25" t="s">
        <v>19</v>
      </c>
      <c r="I25">
        <v>2</v>
      </c>
      <c r="J25">
        <v>30</v>
      </c>
    </row>
    <row r="26" spans="1:10" x14ac:dyDescent="0.2">
      <c r="A26" s="1">
        <v>45687</v>
      </c>
      <c r="B26">
        <v>2.5</v>
      </c>
      <c r="C26" t="s">
        <v>7</v>
      </c>
      <c r="D26" t="s">
        <v>8</v>
      </c>
      <c r="E26">
        <v>40</v>
      </c>
      <c r="F26">
        <v>0</v>
      </c>
      <c r="G26">
        <f t="shared" si="0"/>
        <v>37.5</v>
      </c>
      <c r="H26" t="s">
        <v>19</v>
      </c>
      <c r="I26">
        <v>2</v>
      </c>
      <c r="J26">
        <v>30</v>
      </c>
    </row>
    <row r="27" spans="1:10" x14ac:dyDescent="0.2">
      <c r="A27" s="1">
        <v>45687</v>
      </c>
      <c r="B27">
        <v>2.5</v>
      </c>
      <c r="C27" t="s">
        <v>7</v>
      </c>
      <c r="D27" t="s">
        <v>9</v>
      </c>
      <c r="E27">
        <v>40</v>
      </c>
      <c r="F27">
        <v>0</v>
      </c>
      <c r="G27">
        <f t="shared" si="0"/>
        <v>37.5</v>
      </c>
      <c r="H27" t="s">
        <v>19</v>
      </c>
      <c r="I27">
        <v>2</v>
      </c>
      <c r="J27">
        <v>30</v>
      </c>
    </row>
    <row r="28" spans="1:10" x14ac:dyDescent="0.2">
      <c r="A28" s="1">
        <v>45687</v>
      </c>
      <c r="B28">
        <v>2.5</v>
      </c>
      <c r="C28" t="s">
        <v>7</v>
      </c>
      <c r="D28" t="s">
        <v>9</v>
      </c>
      <c r="E28">
        <v>39</v>
      </c>
      <c r="F28">
        <v>0</v>
      </c>
      <c r="G28">
        <f t="shared" si="0"/>
        <v>36.5</v>
      </c>
      <c r="H28" t="s">
        <v>19</v>
      </c>
      <c r="I28">
        <v>2</v>
      </c>
      <c r="J28">
        <v>30</v>
      </c>
    </row>
    <row r="29" spans="1:10" x14ac:dyDescent="0.2">
      <c r="A29" s="1">
        <v>45687</v>
      </c>
      <c r="B29">
        <v>2.5</v>
      </c>
      <c r="C29" t="s">
        <v>7</v>
      </c>
      <c r="D29" t="s">
        <v>9</v>
      </c>
      <c r="E29">
        <v>40</v>
      </c>
      <c r="F29">
        <v>0</v>
      </c>
      <c r="G29">
        <f t="shared" si="0"/>
        <v>37.5</v>
      </c>
      <c r="H29" t="s">
        <v>19</v>
      </c>
      <c r="I29">
        <v>2</v>
      </c>
      <c r="J29">
        <v>30</v>
      </c>
    </row>
    <row r="30" spans="1:10" x14ac:dyDescent="0.2">
      <c r="A30" s="1">
        <v>45687</v>
      </c>
      <c r="B30">
        <v>2.5</v>
      </c>
      <c r="C30" t="s">
        <v>7</v>
      </c>
      <c r="D30" t="s">
        <v>9</v>
      </c>
      <c r="E30">
        <v>41</v>
      </c>
      <c r="F30">
        <v>0</v>
      </c>
      <c r="G30">
        <f t="shared" si="0"/>
        <v>38.5</v>
      </c>
      <c r="H30" t="s">
        <v>19</v>
      </c>
      <c r="I30">
        <v>2</v>
      </c>
      <c r="J30">
        <v>30</v>
      </c>
    </row>
    <row r="31" spans="1:10" x14ac:dyDescent="0.2">
      <c r="A31" s="1">
        <v>45687</v>
      </c>
      <c r="B31">
        <v>2.5</v>
      </c>
      <c r="C31" t="s">
        <v>7</v>
      </c>
      <c r="D31" t="s">
        <v>9</v>
      </c>
      <c r="E31">
        <v>40</v>
      </c>
      <c r="F31">
        <v>0</v>
      </c>
      <c r="G31">
        <f t="shared" si="0"/>
        <v>37.5</v>
      </c>
      <c r="H31" t="s">
        <v>19</v>
      </c>
      <c r="I31">
        <v>2</v>
      </c>
      <c r="J31">
        <v>30</v>
      </c>
    </row>
    <row r="32" spans="1:10" x14ac:dyDescent="0.2">
      <c r="A32" s="1">
        <v>45687</v>
      </c>
      <c r="B32">
        <v>2.5</v>
      </c>
      <c r="C32" t="s">
        <v>17</v>
      </c>
      <c r="D32" t="s">
        <v>8</v>
      </c>
      <c r="E32">
        <v>38</v>
      </c>
      <c r="F32">
        <v>0</v>
      </c>
      <c r="G32">
        <f t="shared" si="0"/>
        <v>35.5</v>
      </c>
      <c r="H32" t="s">
        <v>19</v>
      </c>
      <c r="I32">
        <v>2</v>
      </c>
      <c r="J32">
        <v>30</v>
      </c>
    </row>
    <row r="33" spans="1:10" x14ac:dyDescent="0.2">
      <c r="A33" s="1">
        <v>45687</v>
      </c>
      <c r="B33">
        <v>2.5</v>
      </c>
      <c r="C33" t="s">
        <v>17</v>
      </c>
      <c r="D33" t="s">
        <v>8</v>
      </c>
      <c r="E33">
        <v>38</v>
      </c>
      <c r="F33">
        <v>0</v>
      </c>
      <c r="G33">
        <f t="shared" si="0"/>
        <v>35.5</v>
      </c>
      <c r="H33" t="s">
        <v>19</v>
      </c>
      <c r="I33">
        <v>2</v>
      </c>
      <c r="J33">
        <v>30</v>
      </c>
    </row>
    <row r="34" spans="1:10" x14ac:dyDescent="0.2">
      <c r="A34" s="1">
        <v>45687</v>
      </c>
      <c r="B34">
        <v>2.5</v>
      </c>
      <c r="C34" t="s">
        <v>17</v>
      </c>
      <c r="D34" t="s">
        <v>8</v>
      </c>
      <c r="E34">
        <v>35</v>
      </c>
      <c r="F34">
        <v>0</v>
      </c>
      <c r="G34">
        <f t="shared" si="0"/>
        <v>32.5</v>
      </c>
      <c r="H34" t="s">
        <v>19</v>
      </c>
      <c r="I34">
        <v>2</v>
      </c>
      <c r="J34">
        <v>30</v>
      </c>
    </row>
    <row r="35" spans="1:10" x14ac:dyDescent="0.2">
      <c r="A35" s="1">
        <v>45687</v>
      </c>
      <c r="B35">
        <v>2.5</v>
      </c>
      <c r="C35" t="s">
        <v>17</v>
      </c>
      <c r="D35" t="s">
        <v>8</v>
      </c>
      <c r="E35">
        <v>39</v>
      </c>
      <c r="F35">
        <v>0</v>
      </c>
      <c r="G35">
        <f t="shared" si="0"/>
        <v>36.5</v>
      </c>
      <c r="H35" t="s">
        <v>19</v>
      </c>
      <c r="I35">
        <v>2</v>
      </c>
      <c r="J35">
        <v>30</v>
      </c>
    </row>
    <row r="36" spans="1:10" x14ac:dyDescent="0.2">
      <c r="A36" s="1">
        <v>45687</v>
      </c>
      <c r="B36">
        <v>2.5</v>
      </c>
      <c r="C36" t="s">
        <v>17</v>
      </c>
      <c r="D36" t="s">
        <v>8</v>
      </c>
      <c r="E36">
        <v>40</v>
      </c>
      <c r="F36">
        <v>0</v>
      </c>
      <c r="G36">
        <f t="shared" si="0"/>
        <v>37.5</v>
      </c>
      <c r="H36" t="s">
        <v>19</v>
      </c>
      <c r="I36">
        <v>2</v>
      </c>
      <c r="J36">
        <v>30</v>
      </c>
    </row>
    <row r="37" spans="1:10" x14ac:dyDescent="0.2">
      <c r="A37" s="1">
        <v>45687</v>
      </c>
      <c r="B37">
        <v>2.5</v>
      </c>
      <c r="C37" t="s">
        <v>17</v>
      </c>
      <c r="D37" t="s">
        <v>9</v>
      </c>
      <c r="E37">
        <v>40</v>
      </c>
      <c r="F37">
        <v>0</v>
      </c>
      <c r="G37">
        <f t="shared" si="0"/>
        <v>37.5</v>
      </c>
      <c r="H37" t="s">
        <v>19</v>
      </c>
      <c r="I37">
        <v>2</v>
      </c>
      <c r="J37">
        <v>30</v>
      </c>
    </row>
    <row r="38" spans="1:10" x14ac:dyDescent="0.2">
      <c r="A38" s="1">
        <v>45687</v>
      </c>
      <c r="B38">
        <v>2.5</v>
      </c>
      <c r="C38" t="s">
        <v>17</v>
      </c>
      <c r="D38" t="s">
        <v>9</v>
      </c>
      <c r="E38">
        <v>38</v>
      </c>
      <c r="F38">
        <v>0</v>
      </c>
      <c r="G38">
        <f t="shared" si="0"/>
        <v>35.5</v>
      </c>
      <c r="H38" t="s">
        <v>19</v>
      </c>
      <c r="I38">
        <v>2</v>
      </c>
      <c r="J38">
        <v>30</v>
      </c>
    </row>
    <row r="39" spans="1:10" x14ac:dyDescent="0.2">
      <c r="A39" s="1">
        <v>45687</v>
      </c>
      <c r="B39">
        <v>2.5</v>
      </c>
      <c r="C39" t="s">
        <v>17</v>
      </c>
      <c r="D39" t="s">
        <v>9</v>
      </c>
      <c r="E39">
        <v>39</v>
      </c>
      <c r="F39">
        <v>0</v>
      </c>
      <c r="G39">
        <f t="shared" si="0"/>
        <v>36.5</v>
      </c>
      <c r="H39" t="s">
        <v>19</v>
      </c>
      <c r="I39">
        <v>2</v>
      </c>
      <c r="J39">
        <v>30</v>
      </c>
    </row>
    <row r="40" spans="1:10" x14ac:dyDescent="0.2">
      <c r="A40" s="1">
        <v>45687</v>
      </c>
      <c r="B40">
        <v>2.5</v>
      </c>
      <c r="C40" t="s">
        <v>17</v>
      </c>
      <c r="D40" t="s">
        <v>9</v>
      </c>
      <c r="E40">
        <v>39</v>
      </c>
      <c r="F40">
        <v>0</v>
      </c>
      <c r="G40">
        <f t="shared" si="0"/>
        <v>36.5</v>
      </c>
      <c r="H40" t="s">
        <v>19</v>
      </c>
      <c r="I40">
        <v>2</v>
      </c>
      <c r="J40">
        <v>30</v>
      </c>
    </row>
    <row r="41" spans="1:10" x14ac:dyDescent="0.2">
      <c r="A41" s="1">
        <v>45687</v>
      </c>
      <c r="B41">
        <v>2.5</v>
      </c>
      <c r="C41" t="s">
        <v>17</v>
      </c>
      <c r="D41" t="s">
        <v>9</v>
      </c>
      <c r="E41">
        <v>38</v>
      </c>
      <c r="F41">
        <v>0</v>
      </c>
      <c r="G41">
        <f t="shared" si="0"/>
        <v>35.5</v>
      </c>
      <c r="H41" t="s">
        <v>19</v>
      </c>
      <c r="I41">
        <v>2</v>
      </c>
      <c r="J41">
        <v>30</v>
      </c>
    </row>
    <row r="42" spans="1:10" x14ac:dyDescent="0.2">
      <c r="A42" s="1">
        <v>45700</v>
      </c>
      <c r="B42">
        <v>0</v>
      </c>
      <c r="C42" t="s">
        <v>7</v>
      </c>
      <c r="D42" t="s">
        <v>8</v>
      </c>
      <c r="E42">
        <v>37</v>
      </c>
      <c r="F42">
        <v>0</v>
      </c>
      <c r="G42">
        <f t="shared" si="0"/>
        <v>37</v>
      </c>
      <c r="H42" t="s">
        <v>19</v>
      </c>
      <c r="I42">
        <v>3</v>
      </c>
      <c r="J42">
        <f t="shared" ref="J42:J61" si="1">31+12</f>
        <v>43</v>
      </c>
    </row>
    <row r="43" spans="1:10" x14ac:dyDescent="0.2">
      <c r="A43" s="1">
        <v>45700</v>
      </c>
      <c r="B43">
        <v>0</v>
      </c>
      <c r="C43" t="s">
        <v>7</v>
      </c>
      <c r="D43" t="s">
        <v>8</v>
      </c>
      <c r="E43">
        <v>37</v>
      </c>
      <c r="F43">
        <v>0</v>
      </c>
      <c r="G43">
        <f t="shared" si="0"/>
        <v>37</v>
      </c>
      <c r="H43" t="s">
        <v>19</v>
      </c>
      <c r="I43">
        <v>3</v>
      </c>
      <c r="J43">
        <f t="shared" si="1"/>
        <v>43</v>
      </c>
    </row>
    <row r="44" spans="1:10" x14ac:dyDescent="0.2">
      <c r="A44" s="1">
        <v>45700</v>
      </c>
      <c r="B44">
        <v>0</v>
      </c>
      <c r="C44" t="s">
        <v>7</v>
      </c>
      <c r="D44" t="s">
        <v>8</v>
      </c>
      <c r="E44">
        <v>37</v>
      </c>
      <c r="F44">
        <v>0</v>
      </c>
      <c r="G44">
        <f t="shared" si="0"/>
        <v>37</v>
      </c>
      <c r="H44" t="s">
        <v>19</v>
      </c>
      <c r="I44">
        <v>3</v>
      </c>
      <c r="J44">
        <f t="shared" si="1"/>
        <v>43</v>
      </c>
    </row>
    <row r="45" spans="1:10" x14ac:dyDescent="0.2">
      <c r="A45" s="1">
        <v>45700</v>
      </c>
      <c r="B45">
        <v>0</v>
      </c>
      <c r="C45" t="s">
        <v>7</v>
      </c>
      <c r="D45" t="s">
        <v>8</v>
      </c>
      <c r="E45">
        <v>38</v>
      </c>
      <c r="F45">
        <v>0</v>
      </c>
      <c r="G45">
        <f t="shared" si="0"/>
        <v>38</v>
      </c>
      <c r="H45" t="s">
        <v>19</v>
      </c>
      <c r="I45">
        <v>3</v>
      </c>
      <c r="J45">
        <f t="shared" si="1"/>
        <v>43</v>
      </c>
    </row>
    <row r="46" spans="1:10" x14ac:dyDescent="0.2">
      <c r="A46" s="1">
        <v>45700</v>
      </c>
      <c r="B46">
        <v>0</v>
      </c>
      <c r="C46" t="s">
        <v>7</v>
      </c>
      <c r="D46" t="s">
        <v>8</v>
      </c>
      <c r="E46">
        <v>38</v>
      </c>
      <c r="F46">
        <v>0</v>
      </c>
      <c r="G46">
        <f t="shared" si="0"/>
        <v>38</v>
      </c>
      <c r="H46" t="s">
        <v>19</v>
      </c>
      <c r="I46">
        <v>3</v>
      </c>
      <c r="J46">
        <f t="shared" si="1"/>
        <v>43</v>
      </c>
    </row>
    <row r="47" spans="1:10" x14ac:dyDescent="0.2">
      <c r="A47" s="1">
        <v>45700</v>
      </c>
      <c r="B47">
        <v>0</v>
      </c>
      <c r="C47" t="s">
        <v>7</v>
      </c>
      <c r="D47" t="s">
        <v>9</v>
      </c>
      <c r="E47">
        <v>37</v>
      </c>
      <c r="F47">
        <v>0</v>
      </c>
      <c r="G47">
        <f t="shared" si="0"/>
        <v>37</v>
      </c>
      <c r="H47" t="s">
        <v>19</v>
      </c>
      <c r="I47">
        <v>3</v>
      </c>
      <c r="J47">
        <f t="shared" si="1"/>
        <v>43</v>
      </c>
    </row>
    <row r="48" spans="1:10" x14ac:dyDescent="0.2">
      <c r="A48" s="1">
        <v>45700</v>
      </c>
      <c r="B48">
        <v>0</v>
      </c>
      <c r="C48" t="s">
        <v>7</v>
      </c>
      <c r="D48" t="s">
        <v>9</v>
      </c>
      <c r="E48">
        <v>37</v>
      </c>
      <c r="F48">
        <v>0</v>
      </c>
      <c r="G48">
        <f t="shared" si="0"/>
        <v>37</v>
      </c>
      <c r="H48" t="s">
        <v>19</v>
      </c>
      <c r="I48">
        <v>3</v>
      </c>
      <c r="J48">
        <f t="shared" si="1"/>
        <v>43</v>
      </c>
    </row>
    <row r="49" spans="1:10" x14ac:dyDescent="0.2">
      <c r="A49" s="1">
        <v>45700</v>
      </c>
      <c r="B49">
        <v>0</v>
      </c>
      <c r="C49" t="s">
        <v>7</v>
      </c>
      <c r="D49" t="s">
        <v>9</v>
      </c>
      <c r="E49">
        <v>37</v>
      </c>
      <c r="F49">
        <v>0</v>
      </c>
      <c r="G49">
        <f t="shared" si="0"/>
        <v>37</v>
      </c>
      <c r="H49" t="s">
        <v>19</v>
      </c>
      <c r="I49">
        <v>3</v>
      </c>
      <c r="J49">
        <f t="shared" si="1"/>
        <v>43</v>
      </c>
    </row>
    <row r="50" spans="1:10" x14ac:dyDescent="0.2">
      <c r="A50" s="1">
        <v>45700</v>
      </c>
      <c r="B50">
        <v>0</v>
      </c>
      <c r="C50" t="s">
        <v>7</v>
      </c>
      <c r="D50" t="s">
        <v>9</v>
      </c>
      <c r="E50">
        <v>38</v>
      </c>
      <c r="F50">
        <v>0</v>
      </c>
      <c r="G50">
        <f t="shared" si="0"/>
        <v>38</v>
      </c>
      <c r="H50" t="s">
        <v>19</v>
      </c>
      <c r="I50">
        <v>3</v>
      </c>
      <c r="J50">
        <f t="shared" si="1"/>
        <v>43</v>
      </c>
    </row>
    <row r="51" spans="1:10" x14ac:dyDescent="0.2">
      <c r="A51" s="1">
        <v>45700</v>
      </c>
      <c r="B51">
        <v>0</v>
      </c>
      <c r="C51" t="s">
        <v>7</v>
      </c>
      <c r="D51" t="s">
        <v>9</v>
      </c>
      <c r="E51">
        <v>38</v>
      </c>
      <c r="F51">
        <v>0</v>
      </c>
      <c r="G51">
        <f t="shared" si="0"/>
        <v>38</v>
      </c>
      <c r="H51" t="s">
        <v>19</v>
      </c>
      <c r="I51">
        <v>3</v>
      </c>
      <c r="J51">
        <f t="shared" si="1"/>
        <v>43</v>
      </c>
    </row>
    <row r="52" spans="1:10" x14ac:dyDescent="0.2">
      <c r="A52" s="1">
        <v>45700</v>
      </c>
      <c r="B52">
        <v>0</v>
      </c>
      <c r="C52" t="s">
        <v>17</v>
      </c>
      <c r="D52" t="s">
        <v>8</v>
      </c>
      <c r="E52">
        <v>38</v>
      </c>
      <c r="F52">
        <v>0</v>
      </c>
      <c r="G52">
        <f t="shared" si="0"/>
        <v>38</v>
      </c>
      <c r="H52" t="s">
        <v>19</v>
      </c>
      <c r="I52">
        <v>3</v>
      </c>
      <c r="J52">
        <f t="shared" si="1"/>
        <v>43</v>
      </c>
    </row>
    <row r="53" spans="1:10" x14ac:dyDescent="0.2">
      <c r="A53" s="1">
        <v>45700</v>
      </c>
      <c r="B53">
        <v>0</v>
      </c>
      <c r="C53" t="s">
        <v>17</v>
      </c>
      <c r="D53" t="s">
        <v>8</v>
      </c>
      <c r="E53">
        <v>38</v>
      </c>
      <c r="F53">
        <v>0</v>
      </c>
      <c r="G53">
        <f t="shared" si="0"/>
        <v>38</v>
      </c>
      <c r="H53" t="s">
        <v>19</v>
      </c>
      <c r="I53">
        <v>3</v>
      </c>
      <c r="J53">
        <f t="shared" si="1"/>
        <v>43</v>
      </c>
    </row>
    <row r="54" spans="1:10" x14ac:dyDescent="0.2">
      <c r="A54" s="1">
        <v>45700</v>
      </c>
      <c r="B54">
        <v>0</v>
      </c>
      <c r="C54" t="s">
        <v>17</v>
      </c>
      <c r="D54" t="s">
        <v>8</v>
      </c>
      <c r="E54">
        <v>38</v>
      </c>
      <c r="F54">
        <v>0</v>
      </c>
      <c r="G54">
        <f t="shared" si="0"/>
        <v>38</v>
      </c>
      <c r="H54" t="s">
        <v>19</v>
      </c>
      <c r="I54">
        <v>3</v>
      </c>
      <c r="J54">
        <f t="shared" si="1"/>
        <v>43</v>
      </c>
    </row>
    <row r="55" spans="1:10" x14ac:dyDescent="0.2">
      <c r="A55" s="1">
        <v>45700</v>
      </c>
      <c r="B55">
        <v>0</v>
      </c>
      <c r="C55" t="s">
        <v>17</v>
      </c>
      <c r="D55" t="s">
        <v>8</v>
      </c>
      <c r="E55">
        <v>38</v>
      </c>
      <c r="F55">
        <v>0</v>
      </c>
      <c r="G55">
        <f t="shared" si="0"/>
        <v>38</v>
      </c>
      <c r="H55" t="s">
        <v>19</v>
      </c>
      <c r="I55">
        <v>3</v>
      </c>
      <c r="J55">
        <f t="shared" si="1"/>
        <v>43</v>
      </c>
    </row>
    <row r="56" spans="1:10" x14ac:dyDescent="0.2">
      <c r="A56" s="1">
        <v>45700</v>
      </c>
      <c r="B56">
        <v>0</v>
      </c>
      <c r="C56" t="s">
        <v>17</v>
      </c>
      <c r="D56" t="s">
        <v>8</v>
      </c>
      <c r="E56">
        <v>38</v>
      </c>
      <c r="F56">
        <v>0</v>
      </c>
      <c r="G56">
        <f t="shared" si="0"/>
        <v>38</v>
      </c>
      <c r="H56" t="s">
        <v>19</v>
      </c>
      <c r="I56">
        <v>3</v>
      </c>
      <c r="J56">
        <f t="shared" si="1"/>
        <v>43</v>
      </c>
    </row>
    <row r="57" spans="1:10" x14ac:dyDescent="0.2">
      <c r="A57" s="1">
        <v>45700</v>
      </c>
      <c r="B57">
        <v>0</v>
      </c>
      <c r="C57" t="s">
        <v>17</v>
      </c>
      <c r="D57" t="s">
        <v>9</v>
      </c>
      <c r="E57">
        <v>37</v>
      </c>
      <c r="F57">
        <v>0</v>
      </c>
      <c r="G57">
        <f t="shared" si="0"/>
        <v>37</v>
      </c>
      <c r="H57" t="s">
        <v>19</v>
      </c>
      <c r="I57">
        <v>3</v>
      </c>
      <c r="J57">
        <f t="shared" si="1"/>
        <v>43</v>
      </c>
    </row>
    <row r="58" spans="1:10" x14ac:dyDescent="0.2">
      <c r="A58" s="1">
        <v>45700</v>
      </c>
      <c r="B58">
        <v>0</v>
      </c>
      <c r="C58" t="s">
        <v>17</v>
      </c>
      <c r="D58" t="s">
        <v>9</v>
      </c>
      <c r="E58">
        <v>38</v>
      </c>
      <c r="F58">
        <v>0</v>
      </c>
      <c r="G58">
        <f t="shared" si="0"/>
        <v>38</v>
      </c>
      <c r="H58" t="s">
        <v>19</v>
      </c>
      <c r="I58">
        <v>3</v>
      </c>
      <c r="J58">
        <f t="shared" si="1"/>
        <v>43</v>
      </c>
    </row>
    <row r="59" spans="1:10" x14ac:dyDescent="0.2">
      <c r="A59" s="1">
        <v>45700</v>
      </c>
      <c r="B59">
        <v>0</v>
      </c>
      <c r="C59" t="s">
        <v>17</v>
      </c>
      <c r="D59" t="s">
        <v>9</v>
      </c>
      <c r="E59">
        <v>37</v>
      </c>
      <c r="F59">
        <v>0</v>
      </c>
      <c r="G59">
        <f t="shared" si="0"/>
        <v>37</v>
      </c>
      <c r="H59" t="s">
        <v>19</v>
      </c>
      <c r="I59">
        <v>3</v>
      </c>
      <c r="J59">
        <f t="shared" si="1"/>
        <v>43</v>
      </c>
    </row>
    <row r="60" spans="1:10" x14ac:dyDescent="0.2">
      <c r="A60" s="1">
        <v>45700</v>
      </c>
      <c r="B60">
        <v>0</v>
      </c>
      <c r="C60" t="s">
        <v>17</v>
      </c>
      <c r="D60" t="s">
        <v>9</v>
      </c>
      <c r="E60">
        <v>37</v>
      </c>
      <c r="F60">
        <v>0</v>
      </c>
      <c r="G60">
        <f t="shared" si="0"/>
        <v>37</v>
      </c>
      <c r="H60" t="s">
        <v>19</v>
      </c>
      <c r="I60">
        <v>3</v>
      </c>
      <c r="J60">
        <f t="shared" si="1"/>
        <v>43</v>
      </c>
    </row>
    <row r="61" spans="1:10" x14ac:dyDescent="0.2">
      <c r="A61" s="1">
        <v>45700</v>
      </c>
      <c r="B61">
        <v>0</v>
      </c>
      <c r="C61" t="s">
        <v>17</v>
      </c>
      <c r="D61" t="s">
        <v>9</v>
      </c>
      <c r="E61">
        <v>37</v>
      </c>
      <c r="F61">
        <v>0</v>
      </c>
      <c r="G61">
        <f t="shared" si="0"/>
        <v>37</v>
      </c>
      <c r="H61" t="s">
        <v>19</v>
      </c>
      <c r="I61">
        <v>3</v>
      </c>
      <c r="J61">
        <f t="shared" si="1"/>
        <v>43</v>
      </c>
    </row>
    <row r="62" spans="1:10" x14ac:dyDescent="0.2">
      <c r="A62" s="1">
        <v>45714</v>
      </c>
      <c r="B62">
        <v>0.75</v>
      </c>
      <c r="C62" t="s">
        <v>7</v>
      </c>
      <c r="D62" t="s">
        <v>8</v>
      </c>
      <c r="E62">
        <v>44</v>
      </c>
      <c r="F62">
        <v>0</v>
      </c>
      <c r="G62">
        <f t="shared" si="0"/>
        <v>43.25</v>
      </c>
      <c r="H62" t="s">
        <v>19</v>
      </c>
      <c r="I62">
        <v>4</v>
      </c>
      <c r="J62">
        <f t="shared" ref="J62:J81" si="2">31+26</f>
        <v>57</v>
      </c>
    </row>
    <row r="63" spans="1:10" x14ac:dyDescent="0.2">
      <c r="A63" s="1">
        <v>45714</v>
      </c>
      <c r="B63">
        <v>0.75</v>
      </c>
      <c r="C63" t="s">
        <v>7</v>
      </c>
      <c r="D63" t="s">
        <v>8</v>
      </c>
      <c r="E63">
        <v>44</v>
      </c>
      <c r="F63">
        <v>0</v>
      </c>
      <c r="G63">
        <f t="shared" si="0"/>
        <v>43.25</v>
      </c>
      <c r="H63" t="s">
        <v>19</v>
      </c>
      <c r="I63">
        <v>4</v>
      </c>
      <c r="J63">
        <f t="shared" si="2"/>
        <v>57</v>
      </c>
    </row>
    <row r="64" spans="1:10" x14ac:dyDescent="0.2">
      <c r="A64" s="1">
        <v>45714</v>
      </c>
      <c r="B64">
        <v>0.75</v>
      </c>
      <c r="C64" t="s">
        <v>7</v>
      </c>
      <c r="D64" t="s">
        <v>8</v>
      </c>
      <c r="E64">
        <v>44</v>
      </c>
      <c r="F64">
        <v>3</v>
      </c>
      <c r="G64">
        <f t="shared" si="0"/>
        <v>43.25</v>
      </c>
      <c r="H64" t="s">
        <v>19</v>
      </c>
      <c r="I64">
        <v>4</v>
      </c>
      <c r="J64">
        <f t="shared" si="2"/>
        <v>57</v>
      </c>
    </row>
    <row r="65" spans="1:10" x14ac:dyDescent="0.2">
      <c r="A65" s="1">
        <v>45714</v>
      </c>
      <c r="B65">
        <v>0.75</v>
      </c>
      <c r="C65" t="s">
        <v>7</v>
      </c>
      <c r="D65" t="s">
        <v>8</v>
      </c>
      <c r="E65">
        <v>45</v>
      </c>
      <c r="F65">
        <v>0</v>
      </c>
      <c r="G65">
        <f t="shared" si="0"/>
        <v>44.25</v>
      </c>
      <c r="H65" t="s">
        <v>19</v>
      </c>
      <c r="I65">
        <v>4</v>
      </c>
      <c r="J65">
        <f t="shared" si="2"/>
        <v>57</v>
      </c>
    </row>
    <row r="66" spans="1:10" x14ac:dyDescent="0.2">
      <c r="A66" s="1">
        <v>45714</v>
      </c>
      <c r="B66">
        <v>0.75</v>
      </c>
      <c r="C66" t="s">
        <v>7</v>
      </c>
      <c r="D66" t="s">
        <v>8</v>
      </c>
      <c r="E66">
        <v>44</v>
      </c>
      <c r="F66">
        <v>1</v>
      </c>
      <c r="G66">
        <f t="shared" ref="G66:G129" si="3">E66-B66</f>
        <v>43.25</v>
      </c>
      <c r="H66" t="s">
        <v>19</v>
      </c>
      <c r="I66">
        <v>4</v>
      </c>
      <c r="J66">
        <f t="shared" si="2"/>
        <v>57</v>
      </c>
    </row>
    <row r="67" spans="1:10" x14ac:dyDescent="0.2">
      <c r="A67" s="1">
        <v>45714</v>
      </c>
      <c r="B67">
        <v>0.75</v>
      </c>
      <c r="C67" t="s">
        <v>7</v>
      </c>
      <c r="D67" t="s">
        <v>9</v>
      </c>
      <c r="E67">
        <v>44</v>
      </c>
      <c r="F67">
        <v>1</v>
      </c>
      <c r="G67">
        <f t="shared" si="3"/>
        <v>43.25</v>
      </c>
      <c r="H67" t="s">
        <v>19</v>
      </c>
      <c r="I67">
        <v>4</v>
      </c>
      <c r="J67">
        <f t="shared" si="2"/>
        <v>57</v>
      </c>
    </row>
    <row r="68" spans="1:10" x14ac:dyDescent="0.2">
      <c r="A68" s="1">
        <v>45714</v>
      </c>
      <c r="B68">
        <v>0.75</v>
      </c>
      <c r="C68" t="s">
        <v>7</v>
      </c>
      <c r="D68" t="s">
        <v>9</v>
      </c>
      <c r="E68">
        <v>44</v>
      </c>
      <c r="F68">
        <v>0</v>
      </c>
      <c r="G68">
        <f t="shared" si="3"/>
        <v>43.25</v>
      </c>
      <c r="H68" t="s">
        <v>19</v>
      </c>
      <c r="I68">
        <v>4</v>
      </c>
      <c r="J68">
        <f t="shared" si="2"/>
        <v>57</v>
      </c>
    </row>
    <row r="69" spans="1:10" x14ac:dyDescent="0.2">
      <c r="A69" s="1">
        <v>45714</v>
      </c>
      <c r="B69">
        <v>0.75</v>
      </c>
      <c r="C69" t="s">
        <v>7</v>
      </c>
      <c r="D69" t="s">
        <v>9</v>
      </c>
      <c r="E69">
        <v>44</v>
      </c>
      <c r="F69">
        <v>0</v>
      </c>
      <c r="G69">
        <f t="shared" si="3"/>
        <v>43.25</v>
      </c>
      <c r="H69" t="s">
        <v>19</v>
      </c>
      <c r="I69">
        <v>4</v>
      </c>
      <c r="J69">
        <f t="shared" si="2"/>
        <v>57</v>
      </c>
    </row>
    <row r="70" spans="1:10" x14ac:dyDescent="0.2">
      <c r="A70" s="1">
        <v>45714</v>
      </c>
      <c r="B70">
        <v>0.75</v>
      </c>
      <c r="C70" t="s">
        <v>7</v>
      </c>
      <c r="D70" t="s">
        <v>9</v>
      </c>
      <c r="E70">
        <v>45</v>
      </c>
      <c r="F70">
        <v>0</v>
      </c>
      <c r="G70">
        <f t="shared" si="3"/>
        <v>44.25</v>
      </c>
      <c r="H70" t="s">
        <v>19</v>
      </c>
      <c r="I70">
        <v>4</v>
      </c>
      <c r="J70">
        <f t="shared" si="2"/>
        <v>57</v>
      </c>
    </row>
    <row r="71" spans="1:10" x14ac:dyDescent="0.2">
      <c r="A71" s="1">
        <v>45714</v>
      </c>
      <c r="B71">
        <v>0.75</v>
      </c>
      <c r="C71" t="s">
        <v>7</v>
      </c>
      <c r="D71" t="s">
        <v>9</v>
      </c>
      <c r="E71">
        <v>44</v>
      </c>
      <c r="F71">
        <v>0</v>
      </c>
      <c r="G71">
        <f t="shared" si="3"/>
        <v>43.25</v>
      </c>
      <c r="H71" t="s">
        <v>19</v>
      </c>
      <c r="I71">
        <v>4</v>
      </c>
      <c r="J71">
        <f t="shared" si="2"/>
        <v>57</v>
      </c>
    </row>
    <row r="72" spans="1:10" x14ac:dyDescent="0.2">
      <c r="A72" s="1">
        <v>45714</v>
      </c>
      <c r="B72">
        <v>0.75</v>
      </c>
      <c r="C72" t="s">
        <v>17</v>
      </c>
      <c r="D72" t="s">
        <v>8</v>
      </c>
      <c r="E72">
        <v>47</v>
      </c>
      <c r="F72">
        <v>0</v>
      </c>
      <c r="G72">
        <f t="shared" si="3"/>
        <v>46.25</v>
      </c>
      <c r="H72" t="s">
        <v>19</v>
      </c>
      <c r="I72">
        <v>4</v>
      </c>
      <c r="J72">
        <f t="shared" si="2"/>
        <v>57</v>
      </c>
    </row>
    <row r="73" spans="1:10" x14ac:dyDescent="0.2">
      <c r="A73" s="1">
        <v>45714</v>
      </c>
      <c r="B73">
        <v>0.75</v>
      </c>
      <c r="C73" t="s">
        <v>17</v>
      </c>
      <c r="D73" t="s">
        <v>8</v>
      </c>
      <c r="E73">
        <v>46</v>
      </c>
      <c r="F73">
        <v>0</v>
      </c>
      <c r="G73">
        <f t="shared" si="3"/>
        <v>45.25</v>
      </c>
      <c r="H73" t="s">
        <v>19</v>
      </c>
      <c r="I73">
        <v>4</v>
      </c>
      <c r="J73">
        <f t="shared" si="2"/>
        <v>57</v>
      </c>
    </row>
    <row r="74" spans="1:10" x14ac:dyDescent="0.2">
      <c r="A74" s="1">
        <v>45714</v>
      </c>
      <c r="B74">
        <v>0.75</v>
      </c>
      <c r="C74" t="s">
        <v>17</v>
      </c>
      <c r="D74" t="s">
        <v>8</v>
      </c>
      <c r="E74">
        <v>45</v>
      </c>
      <c r="F74">
        <v>0</v>
      </c>
      <c r="G74">
        <f t="shared" si="3"/>
        <v>44.25</v>
      </c>
      <c r="H74" t="s">
        <v>19</v>
      </c>
      <c r="I74">
        <v>4</v>
      </c>
      <c r="J74">
        <f t="shared" si="2"/>
        <v>57</v>
      </c>
    </row>
    <row r="75" spans="1:10" x14ac:dyDescent="0.2">
      <c r="A75" s="1">
        <v>45714</v>
      </c>
      <c r="B75">
        <v>0.75</v>
      </c>
      <c r="C75" t="s">
        <v>17</v>
      </c>
      <c r="D75" t="s">
        <v>8</v>
      </c>
      <c r="E75">
        <v>45</v>
      </c>
      <c r="F75">
        <v>0</v>
      </c>
      <c r="G75">
        <f t="shared" si="3"/>
        <v>44.25</v>
      </c>
      <c r="H75" t="s">
        <v>19</v>
      </c>
      <c r="I75">
        <v>4</v>
      </c>
      <c r="J75">
        <f t="shared" si="2"/>
        <v>57</v>
      </c>
    </row>
    <row r="76" spans="1:10" x14ac:dyDescent="0.2">
      <c r="A76" s="1">
        <v>45714</v>
      </c>
      <c r="B76">
        <v>0.75</v>
      </c>
      <c r="C76" t="s">
        <v>17</v>
      </c>
      <c r="D76" t="s">
        <v>8</v>
      </c>
      <c r="E76">
        <v>45</v>
      </c>
      <c r="F76">
        <v>0</v>
      </c>
      <c r="G76">
        <f t="shared" si="3"/>
        <v>44.25</v>
      </c>
      <c r="H76" t="s">
        <v>19</v>
      </c>
      <c r="I76">
        <v>4</v>
      </c>
      <c r="J76">
        <f t="shared" si="2"/>
        <v>57</v>
      </c>
    </row>
    <row r="77" spans="1:10" x14ac:dyDescent="0.2">
      <c r="A77" s="1">
        <v>45714</v>
      </c>
      <c r="B77">
        <v>0.75</v>
      </c>
      <c r="C77" t="s">
        <v>17</v>
      </c>
      <c r="D77" t="s">
        <v>9</v>
      </c>
      <c r="E77">
        <v>47</v>
      </c>
      <c r="F77">
        <v>0</v>
      </c>
      <c r="G77">
        <f t="shared" si="3"/>
        <v>46.25</v>
      </c>
      <c r="H77" t="s">
        <v>19</v>
      </c>
      <c r="I77">
        <v>4</v>
      </c>
      <c r="J77">
        <f t="shared" si="2"/>
        <v>57</v>
      </c>
    </row>
    <row r="78" spans="1:10" x14ac:dyDescent="0.2">
      <c r="A78" s="1">
        <v>45714</v>
      </c>
      <c r="B78">
        <v>0.75</v>
      </c>
      <c r="C78" t="s">
        <v>17</v>
      </c>
      <c r="D78" t="s">
        <v>9</v>
      </c>
      <c r="E78">
        <v>45</v>
      </c>
      <c r="F78">
        <v>3</v>
      </c>
      <c r="G78">
        <f t="shared" si="3"/>
        <v>44.25</v>
      </c>
      <c r="H78" t="s">
        <v>19</v>
      </c>
      <c r="I78">
        <v>4</v>
      </c>
      <c r="J78">
        <f t="shared" si="2"/>
        <v>57</v>
      </c>
    </row>
    <row r="79" spans="1:10" x14ac:dyDescent="0.2">
      <c r="A79" s="1">
        <v>45714</v>
      </c>
      <c r="B79">
        <v>0.75</v>
      </c>
      <c r="C79" t="s">
        <v>17</v>
      </c>
      <c r="D79" t="s">
        <v>9</v>
      </c>
      <c r="E79">
        <v>45</v>
      </c>
      <c r="F79">
        <v>2</v>
      </c>
      <c r="G79">
        <f t="shared" si="3"/>
        <v>44.25</v>
      </c>
      <c r="H79" t="s">
        <v>19</v>
      </c>
      <c r="I79">
        <v>4</v>
      </c>
      <c r="J79">
        <f t="shared" si="2"/>
        <v>57</v>
      </c>
    </row>
    <row r="80" spans="1:10" x14ac:dyDescent="0.2">
      <c r="A80" s="1">
        <v>45714</v>
      </c>
      <c r="B80">
        <v>0.75</v>
      </c>
      <c r="C80" t="s">
        <v>17</v>
      </c>
      <c r="D80" t="s">
        <v>9</v>
      </c>
      <c r="E80">
        <v>47</v>
      </c>
      <c r="F80">
        <v>3</v>
      </c>
      <c r="G80">
        <f t="shared" si="3"/>
        <v>46.25</v>
      </c>
      <c r="H80" t="s">
        <v>19</v>
      </c>
      <c r="I80">
        <v>4</v>
      </c>
      <c r="J80">
        <f t="shared" si="2"/>
        <v>57</v>
      </c>
    </row>
    <row r="81" spans="1:10" x14ac:dyDescent="0.2">
      <c r="A81" s="1">
        <v>45714</v>
      </c>
      <c r="B81">
        <v>0.75</v>
      </c>
      <c r="C81" t="s">
        <v>17</v>
      </c>
      <c r="D81" t="s">
        <v>9</v>
      </c>
      <c r="E81">
        <v>46</v>
      </c>
      <c r="F81">
        <v>0</v>
      </c>
      <c r="G81">
        <f t="shared" si="3"/>
        <v>45.25</v>
      </c>
      <c r="H81" t="s">
        <v>19</v>
      </c>
      <c r="I81">
        <v>4</v>
      </c>
      <c r="J81">
        <f t="shared" si="2"/>
        <v>57</v>
      </c>
    </row>
    <row r="82" spans="1:10" x14ac:dyDescent="0.2">
      <c r="A82" s="1">
        <v>45728</v>
      </c>
      <c r="B82">
        <v>0.25</v>
      </c>
      <c r="C82" t="s">
        <v>7</v>
      </c>
      <c r="D82" t="s">
        <v>8</v>
      </c>
      <c r="E82">
        <v>38</v>
      </c>
      <c r="F82">
        <v>0</v>
      </c>
      <c r="G82">
        <f t="shared" si="3"/>
        <v>37.75</v>
      </c>
      <c r="H82" t="s">
        <v>19</v>
      </c>
      <c r="I82">
        <v>5</v>
      </c>
      <c r="J82">
        <f t="shared" ref="J82:J101" si="4">31+28+12</f>
        <v>71</v>
      </c>
    </row>
    <row r="83" spans="1:10" x14ac:dyDescent="0.2">
      <c r="A83" s="1">
        <v>45728</v>
      </c>
      <c r="B83">
        <v>0.25</v>
      </c>
      <c r="C83" t="s">
        <v>7</v>
      </c>
      <c r="D83" t="s">
        <v>8</v>
      </c>
      <c r="E83">
        <v>38</v>
      </c>
      <c r="F83">
        <v>0</v>
      </c>
      <c r="G83">
        <f t="shared" si="3"/>
        <v>37.75</v>
      </c>
      <c r="H83" t="s">
        <v>19</v>
      </c>
      <c r="I83">
        <v>5</v>
      </c>
      <c r="J83">
        <f t="shared" si="4"/>
        <v>71</v>
      </c>
    </row>
    <row r="84" spans="1:10" x14ac:dyDescent="0.2">
      <c r="A84" s="1">
        <v>45728</v>
      </c>
      <c r="B84">
        <v>0.25</v>
      </c>
      <c r="C84" t="s">
        <v>7</v>
      </c>
      <c r="D84" t="s">
        <v>8</v>
      </c>
      <c r="E84">
        <v>39</v>
      </c>
      <c r="F84">
        <v>0</v>
      </c>
      <c r="G84">
        <f t="shared" si="3"/>
        <v>38.75</v>
      </c>
      <c r="H84" t="s">
        <v>19</v>
      </c>
      <c r="I84">
        <v>5</v>
      </c>
      <c r="J84">
        <f t="shared" si="4"/>
        <v>71</v>
      </c>
    </row>
    <row r="85" spans="1:10" x14ac:dyDescent="0.2">
      <c r="A85" s="1">
        <v>45728</v>
      </c>
      <c r="B85">
        <v>0.25</v>
      </c>
      <c r="C85" t="s">
        <v>7</v>
      </c>
      <c r="D85" t="s">
        <v>8</v>
      </c>
      <c r="E85">
        <v>40</v>
      </c>
      <c r="F85">
        <v>0</v>
      </c>
      <c r="G85">
        <f t="shared" si="3"/>
        <v>39.75</v>
      </c>
      <c r="H85" t="s">
        <v>19</v>
      </c>
      <c r="I85">
        <v>5</v>
      </c>
      <c r="J85">
        <f t="shared" si="4"/>
        <v>71</v>
      </c>
    </row>
    <row r="86" spans="1:10" x14ac:dyDescent="0.2">
      <c r="A86" s="1">
        <v>45728</v>
      </c>
      <c r="B86">
        <v>0.25</v>
      </c>
      <c r="C86" t="s">
        <v>7</v>
      </c>
      <c r="D86" t="s">
        <v>8</v>
      </c>
      <c r="E86">
        <v>40</v>
      </c>
      <c r="F86">
        <v>0</v>
      </c>
      <c r="G86">
        <f t="shared" si="3"/>
        <v>39.75</v>
      </c>
      <c r="H86" t="s">
        <v>19</v>
      </c>
      <c r="I86">
        <v>5</v>
      </c>
      <c r="J86">
        <f t="shared" si="4"/>
        <v>71</v>
      </c>
    </row>
    <row r="87" spans="1:10" x14ac:dyDescent="0.2">
      <c r="A87" s="1">
        <v>45728</v>
      </c>
      <c r="B87">
        <v>0.25</v>
      </c>
      <c r="C87" t="s">
        <v>7</v>
      </c>
      <c r="D87" t="s">
        <v>9</v>
      </c>
      <c r="E87">
        <v>38</v>
      </c>
      <c r="F87">
        <v>0</v>
      </c>
      <c r="G87">
        <f t="shared" si="3"/>
        <v>37.75</v>
      </c>
      <c r="H87" t="s">
        <v>19</v>
      </c>
      <c r="I87">
        <v>5</v>
      </c>
      <c r="J87">
        <f t="shared" si="4"/>
        <v>71</v>
      </c>
    </row>
    <row r="88" spans="1:10" x14ac:dyDescent="0.2">
      <c r="A88" s="1">
        <v>45728</v>
      </c>
      <c r="B88">
        <v>0.25</v>
      </c>
      <c r="C88" t="s">
        <v>7</v>
      </c>
      <c r="D88" t="s">
        <v>9</v>
      </c>
      <c r="E88">
        <v>38</v>
      </c>
      <c r="F88">
        <v>0</v>
      </c>
      <c r="G88">
        <f t="shared" si="3"/>
        <v>37.75</v>
      </c>
      <c r="H88" t="s">
        <v>19</v>
      </c>
      <c r="I88">
        <v>5</v>
      </c>
      <c r="J88">
        <f t="shared" si="4"/>
        <v>71</v>
      </c>
    </row>
    <row r="89" spans="1:10" x14ac:dyDescent="0.2">
      <c r="A89" s="1">
        <v>45728</v>
      </c>
      <c r="B89">
        <v>0.25</v>
      </c>
      <c r="C89" t="s">
        <v>7</v>
      </c>
      <c r="D89" t="s">
        <v>9</v>
      </c>
      <c r="E89">
        <v>39</v>
      </c>
      <c r="F89">
        <v>0</v>
      </c>
      <c r="G89">
        <f t="shared" si="3"/>
        <v>38.75</v>
      </c>
      <c r="H89" t="s">
        <v>19</v>
      </c>
      <c r="I89">
        <v>5</v>
      </c>
      <c r="J89">
        <f t="shared" si="4"/>
        <v>71</v>
      </c>
    </row>
    <row r="90" spans="1:10" x14ac:dyDescent="0.2">
      <c r="A90" s="1">
        <v>45728</v>
      </c>
      <c r="B90">
        <v>0.25</v>
      </c>
      <c r="C90" t="s">
        <v>7</v>
      </c>
      <c r="D90" t="s">
        <v>9</v>
      </c>
      <c r="E90">
        <v>40</v>
      </c>
      <c r="F90">
        <v>0</v>
      </c>
      <c r="G90">
        <f t="shared" si="3"/>
        <v>39.75</v>
      </c>
      <c r="H90" t="s">
        <v>19</v>
      </c>
      <c r="I90">
        <v>5</v>
      </c>
      <c r="J90">
        <f t="shared" si="4"/>
        <v>71</v>
      </c>
    </row>
    <row r="91" spans="1:10" x14ac:dyDescent="0.2">
      <c r="A91" s="1">
        <v>45728</v>
      </c>
      <c r="B91">
        <v>0.25</v>
      </c>
      <c r="C91" t="s">
        <v>7</v>
      </c>
      <c r="D91" t="s">
        <v>9</v>
      </c>
      <c r="E91">
        <v>40</v>
      </c>
      <c r="F91">
        <v>0</v>
      </c>
      <c r="G91">
        <f t="shared" si="3"/>
        <v>39.75</v>
      </c>
      <c r="H91" t="s">
        <v>19</v>
      </c>
      <c r="I91">
        <v>5</v>
      </c>
      <c r="J91">
        <f t="shared" si="4"/>
        <v>71</v>
      </c>
    </row>
    <row r="92" spans="1:10" x14ac:dyDescent="0.2">
      <c r="A92" s="1">
        <v>45728</v>
      </c>
      <c r="B92">
        <v>0.25</v>
      </c>
      <c r="C92" t="s">
        <v>17</v>
      </c>
      <c r="D92" t="s">
        <v>8</v>
      </c>
      <c r="E92">
        <v>40</v>
      </c>
      <c r="F92">
        <v>0</v>
      </c>
      <c r="G92">
        <f t="shared" si="3"/>
        <v>39.75</v>
      </c>
      <c r="H92" t="s">
        <v>19</v>
      </c>
      <c r="I92">
        <v>5</v>
      </c>
      <c r="J92">
        <f t="shared" si="4"/>
        <v>71</v>
      </c>
    </row>
    <row r="93" spans="1:10" x14ac:dyDescent="0.2">
      <c r="A93" s="1">
        <v>45728</v>
      </c>
      <c r="B93">
        <v>0.25</v>
      </c>
      <c r="C93" t="s">
        <v>17</v>
      </c>
      <c r="D93" t="s">
        <v>8</v>
      </c>
      <c r="E93">
        <v>39</v>
      </c>
      <c r="F93">
        <v>0</v>
      </c>
      <c r="G93">
        <f t="shared" si="3"/>
        <v>38.75</v>
      </c>
      <c r="H93" t="s">
        <v>19</v>
      </c>
      <c r="I93">
        <v>5</v>
      </c>
      <c r="J93">
        <f t="shared" si="4"/>
        <v>71</v>
      </c>
    </row>
    <row r="94" spans="1:10" x14ac:dyDescent="0.2">
      <c r="A94" s="1">
        <v>45728</v>
      </c>
      <c r="B94">
        <v>0.25</v>
      </c>
      <c r="C94" t="s">
        <v>17</v>
      </c>
      <c r="D94" t="s">
        <v>8</v>
      </c>
      <c r="E94">
        <v>39</v>
      </c>
      <c r="F94">
        <v>0</v>
      </c>
      <c r="G94">
        <f t="shared" si="3"/>
        <v>38.75</v>
      </c>
      <c r="H94" t="s">
        <v>19</v>
      </c>
      <c r="I94">
        <v>5</v>
      </c>
      <c r="J94">
        <f t="shared" si="4"/>
        <v>71</v>
      </c>
    </row>
    <row r="95" spans="1:10" x14ac:dyDescent="0.2">
      <c r="A95" s="1">
        <v>45728</v>
      </c>
      <c r="B95">
        <v>0.25</v>
      </c>
      <c r="C95" t="s">
        <v>17</v>
      </c>
      <c r="D95" t="s">
        <v>8</v>
      </c>
      <c r="E95">
        <v>38</v>
      </c>
      <c r="F95">
        <v>0</v>
      </c>
      <c r="G95">
        <f t="shared" si="3"/>
        <v>37.75</v>
      </c>
      <c r="H95" t="s">
        <v>19</v>
      </c>
      <c r="I95">
        <v>5</v>
      </c>
      <c r="J95">
        <f t="shared" si="4"/>
        <v>71</v>
      </c>
    </row>
    <row r="96" spans="1:10" x14ac:dyDescent="0.2">
      <c r="A96" s="1">
        <v>45728</v>
      </c>
      <c r="B96">
        <v>0.25</v>
      </c>
      <c r="C96" t="s">
        <v>17</v>
      </c>
      <c r="D96" t="s">
        <v>8</v>
      </c>
      <c r="E96">
        <v>38</v>
      </c>
      <c r="F96">
        <v>0</v>
      </c>
      <c r="G96">
        <f t="shared" si="3"/>
        <v>37.75</v>
      </c>
      <c r="H96" t="s">
        <v>19</v>
      </c>
      <c r="I96">
        <v>5</v>
      </c>
      <c r="J96">
        <f t="shared" si="4"/>
        <v>71</v>
      </c>
    </row>
    <row r="97" spans="1:10" x14ac:dyDescent="0.2">
      <c r="A97" s="1">
        <v>45728</v>
      </c>
      <c r="B97">
        <v>0.25</v>
      </c>
      <c r="C97" t="s">
        <v>17</v>
      </c>
      <c r="D97" t="s">
        <v>9</v>
      </c>
      <c r="E97">
        <v>38</v>
      </c>
      <c r="F97">
        <v>0</v>
      </c>
      <c r="G97">
        <f t="shared" si="3"/>
        <v>37.75</v>
      </c>
      <c r="H97" t="s">
        <v>19</v>
      </c>
      <c r="I97">
        <v>5</v>
      </c>
      <c r="J97">
        <f t="shared" si="4"/>
        <v>71</v>
      </c>
    </row>
    <row r="98" spans="1:10" x14ac:dyDescent="0.2">
      <c r="A98" s="1">
        <v>45728</v>
      </c>
      <c r="B98">
        <v>0.25</v>
      </c>
      <c r="C98" t="s">
        <v>17</v>
      </c>
      <c r="D98" t="s">
        <v>9</v>
      </c>
      <c r="E98">
        <v>36</v>
      </c>
      <c r="F98">
        <v>0</v>
      </c>
      <c r="G98">
        <f t="shared" si="3"/>
        <v>35.75</v>
      </c>
      <c r="H98" t="s">
        <v>19</v>
      </c>
      <c r="I98">
        <v>5</v>
      </c>
      <c r="J98">
        <f t="shared" si="4"/>
        <v>71</v>
      </c>
    </row>
    <row r="99" spans="1:10" x14ac:dyDescent="0.2">
      <c r="A99" s="1">
        <v>45728</v>
      </c>
      <c r="B99">
        <v>0.25</v>
      </c>
      <c r="C99" t="s">
        <v>17</v>
      </c>
      <c r="D99" t="s">
        <v>9</v>
      </c>
      <c r="E99">
        <v>37</v>
      </c>
      <c r="F99">
        <v>0</v>
      </c>
      <c r="G99">
        <f t="shared" si="3"/>
        <v>36.75</v>
      </c>
      <c r="H99" t="s">
        <v>19</v>
      </c>
      <c r="I99">
        <v>5</v>
      </c>
      <c r="J99">
        <f t="shared" si="4"/>
        <v>71</v>
      </c>
    </row>
    <row r="100" spans="1:10" x14ac:dyDescent="0.2">
      <c r="A100" s="1">
        <v>45728</v>
      </c>
      <c r="B100">
        <v>0.25</v>
      </c>
      <c r="C100" t="s">
        <v>17</v>
      </c>
      <c r="D100" t="s">
        <v>9</v>
      </c>
      <c r="E100">
        <v>38</v>
      </c>
      <c r="F100">
        <v>0</v>
      </c>
      <c r="G100">
        <f t="shared" si="3"/>
        <v>37.75</v>
      </c>
      <c r="H100" t="s">
        <v>19</v>
      </c>
      <c r="I100">
        <v>5</v>
      </c>
      <c r="J100">
        <f t="shared" si="4"/>
        <v>71</v>
      </c>
    </row>
    <row r="101" spans="1:10" x14ac:dyDescent="0.2">
      <c r="A101" s="1">
        <v>45728</v>
      </c>
      <c r="B101">
        <v>0.25</v>
      </c>
      <c r="C101" t="s">
        <v>17</v>
      </c>
      <c r="D101" t="s">
        <v>9</v>
      </c>
      <c r="E101">
        <v>37</v>
      </c>
      <c r="F101">
        <v>2</v>
      </c>
      <c r="G101">
        <f t="shared" si="3"/>
        <v>36.75</v>
      </c>
      <c r="H101" t="s">
        <v>19</v>
      </c>
      <c r="I101">
        <v>5</v>
      </c>
      <c r="J101">
        <f t="shared" si="4"/>
        <v>71</v>
      </c>
    </row>
    <row r="102" spans="1:10" x14ac:dyDescent="0.2">
      <c r="A102" s="1">
        <v>45742</v>
      </c>
      <c r="B102">
        <v>1.25</v>
      </c>
      <c r="C102" t="s">
        <v>7</v>
      </c>
      <c r="D102" t="s">
        <v>8</v>
      </c>
      <c r="E102">
        <v>39</v>
      </c>
      <c r="F102">
        <v>0</v>
      </c>
      <c r="G102">
        <f t="shared" si="3"/>
        <v>37.75</v>
      </c>
      <c r="H102" t="s">
        <v>19</v>
      </c>
      <c r="I102">
        <v>6</v>
      </c>
      <c r="J102">
        <f t="shared" ref="J102:J121" si="5">31+28+26</f>
        <v>85</v>
      </c>
    </row>
    <row r="103" spans="1:10" x14ac:dyDescent="0.2">
      <c r="A103" s="1">
        <v>45742</v>
      </c>
      <c r="B103">
        <v>1.25</v>
      </c>
      <c r="C103" t="s">
        <v>7</v>
      </c>
      <c r="D103" t="s">
        <v>8</v>
      </c>
      <c r="E103">
        <v>38</v>
      </c>
      <c r="F103">
        <v>0</v>
      </c>
      <c r="G103">
        <f t="shared" si="3"/>
        <v>36.75</v>
      </c>
      <c r="H103" t="s">
        <v>19</v>
      </c>
      <c r="I103">
        <v>6</v>
      </c>
      <c r="J103">
        <f t="shared" si="5"/>
        <v>85</v>
      </c>
    </row>
    <row r="104" spans="1:10" x14ac:dyDescent="0.2">
      <c r="A104" s="1">
        <v>45742</v>
      </c>
      <c r="B104">
        <v>1.25</v>
      </c>
      <c r="C104" t="s">
        <v>7</v>
      </c>
      <c r="D104" t="s">
        <v>8</v>
      </c>
      <c r="E104">
        <v>37</v>
      </c>
      <c r="F104">
        <v>0</v>
      </c>
      <c r="G104">
        <f t="shared" si="3"/>
        <v>35.75</v>
      </c>
      <c r="H104" t="s">
        <v>19</v>
      </c>
      <c r="I104">
        <v>6</v>
      </c>
      <c r="J104">
        <f t="shared" si="5"/>
        <v>85</v>
      </c>
    </row>
    <row r="105" spans="1:10" x14ac:dyDescent="0.2">
      <c r="A105" s="1">
        <v>45742</v>
      </c>
      <c r="B105">
        <v>1.25</v>
      </c>
      <c r="C105" t="s">
        <v>7</v>
      </c>
      <c r="D105" t="s">
        <v>8</v>
      </c>
      <c r="E105">
        <v>38</v>
      </c>
      <c r="F105">
        <v>0</v>
      </c>
      <c r="G105">
        <f t="shared" si="3"/>
        <v>36.75</v>
      </c>
      <c r="H105" t="s">
        <v>19</v>
      </c>
      <c r="I105">
        <v>6</v>
      </c>
      <c r="J105">
        <f t="shared" si="5"/>
        <v>85</v>
      </c>
    </row>
    <row r="106" spans="1:10" x14ac:dyDescent="0.2">
      <c r="A106" s="1">
        <v>45742</v>
      </c>
      <c r="B106">
        <v>1.25</v>
      </c>
      <c r="C106" t="s">
        <v>7</v>
      </c>
      <c r="D106" t="s">
        <v>8</v>
      </c>
      <c r="E106">
        <v>37</v>
      </c>
      <c r="F106">
        <v>0</v>
      </c>
      <c r="G106">
        <f t="shared" si="3"/>
        <v>35.75</v>
      </c>
      <c r="H106" t="s">
        <v>19</v>
      </c>
      <c r="I106">
        <v>6</v>
      </c>
      <c r="J106">
        <f t="shared" si="5"/>
        <v>85</v>
      </c>
    </row>
    <row r="107" spans="1:10" x14ac:dyDescent="0.2">
      <c r="A107" s="1">
        <v>45742</v>
      </c>
      <c r="B107">
        <v>1.25</v>
      </c>
      <c r="C107" t="s">
        <v>7</v>
      </c>
      <c r="D107" t="s">
        <v>8</v>
      </c>
      <c r="E107">
        <v>38</v>
      </c>
      <c r="F107">
        <v>0</v>
      </c>
      <c r="G107">
        <f t="shared" si="3"/>
        <v>36.75</v>
      </c>
      <c r="H107" t="s">
        <v>19</v>
      </c>
      <c r="I107">
        <v>6</v>
      </c>
      <c r="J107">
        <f t="shared" si="5"/>
        <v>85</v>
      </c>
    </row>
    <row r="108" spans="1:10" x14ac:dyDescent="0.2">
      <c r="A108" s="1">
        <v>45742</v>
      </c>
      <c r="B108">
        <v>1.25</v>
      </c>
      <c r="C108" t="s">
        <v>7</v>
      </c>
      <c r="D108" t="s">
        <v>8</v>
      </c>
      <c r="E108">
        <v>38</v>
      </c>
      <c r="F108">
        <v>0</v>
      </c>
      <c r="G108">
        <f t="shared" si="3"/>
        <v>36.75</v>
      </c>
      <c r="H108" t="s">
        <v>19</v>
      </c>
      <c r="I108">
        <v>6</v>
      </c>
      <c r="J108">
        <f t="shared" si="5"/>
        <v>85</v>
      </c>
    </row>
    <row r="109" spans="1:10" x14ac:dyDescent="0.2">
      <c r="A109" s="1">
        <v>45742</v>
      </c>
      <c r="B109">
        <v>1.25</v>
      </c>
      <c r="C109" t="s">
        <v>7</v>
      </c>
      <c r="D109" t="s">
        <v>8</v>
      </c>
      <c r="E109">
        <v>38</v>
      </c>
      <c r="F109">
        <v>0</v>
      </c>
      <c r="G109">
        <f t="shared" si="3"/>
        <v>36.75</v>
      </c>
      <c r="H109" t="s">
        <v>19</v>
      </c>
      <c r="I109">
        <v>6</v>
      </c>
      <c r="J109">
        <f t="shared" si="5"/>
        <v>85</v>
      </c>
    </row>
    <row r="110" spans="1:10" x14ac:dyDescent="0.2">
      <c r="A110" s="1">
        <v>45742</v>
      </c>
      <c r="B110">
        <v>1.25</v>
      </c>
      <c r="C110" t="s">
        <v>7</v>
      </c>
      <c r="D110" t="s">
        <v>8</v>
      </c>
      <c r="E110">
        <v>38</v>
      </c>
      <c r="F110">
        <v>3</v>
      </c>
      <c r="G110">
        <f t="shared" si="3"/>
        <v>36.75</v>
      </c>
      <c r="H110" t="s">
        <v>19</v>
      </c>
      <c r="I110">
        <v>6</v>
      </c>
      <c r="J110">
        <f t="shared" si="5"/>
        <v>85</v>
      </c>
    </row>
    <row r="111" spans="1:10" x14ac:dyDescent="0.2">
      <c r="A111" s="1">
        <v>45742</v>
      </c>
      <c r="B111">
        <v>1.25</v>
      </c>
      <c r="C111" t="s">
        <v>7</v>
      </c>
      <c r="D111" t="s">
        <v>8</v>
      </c>
      <c r="E111">
        <v>39</v>
      </c>
      <c r="F111">
        <v>0</v>
      </c>
      <c r="G111">
        <f t="shared" si="3"/>
        <v>37.75</v>
      </c>
      <c r="H111" t="s">
        <v>19</v>
      </c>
      <c r="I111">
        <v>6</v>
      </c>
      <c r="J111">
        <f t="shared" si="5"/>
        <v>85</v>
      </c>
    </row>
    <row r="112" spans="1:10" x14ac:dyDescent="0.2">
      <c r="A112" s="1">
        <v>45742</v>
      </c>
      <c r="B112">
        <v>1.25</v>
      </c>
      <c r="C112" t="s">
        <v>7</v>
      </c>
      <c r="D112" t="s">
        <v>9</v>
      </c>
      <c r="E112">
        <v>39</v>
      </c>
      <c r="F112">
        <v>0</v>
      </c>
      <c r="G112">
        <f t="shared" si="3"/>
        <v>37.75</v>
      </c>
      <c r="H112" t="s">
        <v>19</v>
      </c>
      <c r="I112">
        <v>6</v>
      </c>
      <c r="J112">
        <f t="shared" si="5"/>
        <v>85</v>
      </c>
    </row>
    <row r="113" spans="1:10" x14ac:dyDescent="0.2">
      <c r="A113" s="1">
        <v>45742</v>
      </c>
      <c r="B113">
        <v>1.25</v>
      </c>
      <c r="C113" t="s">
        <v>7</v>
      </c>
      <c r="D113" t="s">
        <v>9</v>
      </c>
      <c r="E113">
        <v>38</v>
      </c>
      <c r="F113">
        <v>0</v>
      </c>
      <c r="G113">
        <f t="shared" si="3"/>
        <v>36.75</v>
      </c>
      <c r="H113" t="s">
        <v>19</v>
      </c>
      <c r="I113">
        <v>6</v>
      </c>
      <c r="J113">
        <f t="shared" si="5"/>
        <v>85</v>
      </c>
    </row>
    <row r="114" spans="1:10" x14ac:dyDescent="0.2">
      <c r="A114" s="1">
        <v>45742</v>
      </c>
      <c r="B114">
        <v>1.25</v>
      </c>
      <c r="C114" t="s">
        <v>7</v>
      </c>
      <c r="D114" t="s">
        <v>9</v>
      </c>
      <c r="E114">
        <v>37</v>
      </c>
      <c r="F114">
        <v>0</v>
      </c>
      <c r="G114">
        <f t="shared" si="3"/>
        <v>35.75</v>
      </c>
      <c r="H114" t="s">
        <v>19</v>
      </c>
      <c r="I114">
        <v>6</v>
      </c>
      <c r="J114">
        <f t="shared" si="5"/>
        <v>85</v>
      </c>
    </row>
    <row r="115" spans="1:10" x14ac:dyDescent="0.2">
      <c r="A115" s="1">
        <v>45742</v>
      </c>
      <c r="B115">
        <v>1.25</v>
      </c>
      <c r="C115" t="s">
        <v>7</v>
      </c>
      <c r="D115" t="s">
        <v>9</v>
      </c>
      <c r="E115">
        <v>38</v>
      </c>
      <c r="F115">
        <v>0</v>
      </c>
      <c r="G115">
        <f t="shared" si="3"/>
        <v>36.75</v>
      </c>
      <c r="H115" t="s">
        <v>19</v>
      </c>
      <c r="I115">
        <v>6</v>
      </c>
      <c r="J115">
        <f t="shared" si="5"/>
        <v>85</v>
      </c>
    </row>
    <row r="116" spans="1:10" x14ac:dyDescent="0.2">
      <c r="A116" s="1">
        <v>45742</v>
      </c>
      <c r="B116">
        <v>1.25</v>
      </c>
      <c r="C116" t="s">
        <v>7</v>
      </c>
      <c r="D116" t="s">
        <v>9</v>
      </c>
      <c r="E116">
        <v>37</v>
      </c>
      <c r="F116">
        <v>0</v>
      </c>
      <c r="G116">
        <f t="shared" si="3"/>
        <v>35.75</v>
      </c>
      <c r="H116" t="s">
        <v>19</v>
      </c>
      <c r="I116">
        <v>6</v>
      </c>
      <c r="J116">
        <f t="shared" si="5"/>
        <v>85</v>
      </c>
    </row>
    <row r="117" spans="1:10" x14ac:dyDescent="0.2">
      <c r="A117" s="1">
        <v>45742</v>
      </c>
      <c r="B117">
        <v>1.25</v>
      </c>
      <c r="C117" t="s">
        <v>7</v>
      </c>
      <c r="D117" t="s">
        <v>9</v>
      </c>
      <c r="E117">
        <v>38</v>
      </c>
      <c r="F117">
        <v>3</v>
      </c>
      <c r="G117">
        <f t="shared" si="3"/>
        <v>36.75</v>
      </c>
      <c r="H117" t="s">
        <v>19</v>
      </c>
      <c r="I117">
        <v>6</v>
      </c>
      <c r="J117">
        <f t="shared" si="5"/>
        <v>85</v>
      </c>
    </row>
    <row r="118" spans="1:10" x14ac:dyDescent="0.2">
      <c r="A118" s="1">
        <v>45742</v>
      </c>
      <c r="B118">
        <v>1.25</v>
      </c>
      <c r="C118" t="s">
        <v>7</v>
      </c>
      <c r="D118" t="s">
        <v>9</v>
      </c>
      <c r="E118">
        <v>38</v>
      </c>
      <c r="F118">
        <v>0</v>
      </c>
      <c r="G118">
        <f t="shared" si="3"/>
        <v>36.75</v>
      </c>
      <c r="H118" t="s">
        <v>19</v>
      </c>
      <c r="I118">
        <v>6</v>
      </c>
      <c r="J118">
        <f t="shared" si="5"/>
        <v>85</v>
      </c>
    </row>
    <row r="119" spans="1:10" x14ac:dyDescent="0.2">
      <c r="A119" s="1">
        <v>45742</v>
      </c>
      <c r="B119">
        <v>1.25</v>
      </c>
      <c r="C119" t="s">
        <v>7</v>
      </c>
      <c r="D119" t="s">
        <v>9</v>
      </c>
      <c r="E119">
        <v>38</v>
      </c>
      <c r="F119">
        <v>0</v>
      </c>
      <c r="G119">
        <f t="shared" si="3"/>
        <v>36.75</v>
      </c>
      <c r="H119" t="s">
        <v>19</v>
      </c>
      <c r="I119">
        <v>6</v>
      </c>
      <c r="J119">
        <f t="shared" si="5"/>
        <v>85</v>
      </c>
    </row>
    <row r="120" spans="1:10" x14ac:dyDescent="0.2">
      <c r="A120" s="1">
        <v>45742</v>
      </c>
      <c r="B120">
        <v>1.25</v>
      </c>
      <c r="C120" t="s">
        <v>7</v>
      </c>
      <c r="D120" t="s">
        <v>9</v>
      </c>
      <c r="E120">
        <v>38</v>
      </c>
      <c r="F120">
        <v>0</v>
      </c>
      <c r="G120">
        <f t="shared" si="3"/>
        <v>36.75</v>
      </c>
      <c r="H120" t="s">
        <v>19</v>
      </c>
      <c r="I120">
        <v>6</v>
      </c>
      <c r="J120">
        <f t="shared" si="5"/>
        <v>85</v>
      </c>
    </row>
    <row r="121" spans="1:10" x14ac:dyDescent="0.2">
      <c r="A121" s="1">
        <v>45742</v>
      </c>
      <c r="B121">
        <v>1.25</v>
      </c>
      <c r="C121" t="s">
        <v>7</v>
      </c>
      <c r="D121" t="s">
        <v>9</v>
      </c>
      <c r="E121">
        <v>39</v>
      </c>
      <c r="F121">
        <v>0</v>
      </c>
      <c r="G121">
        <f t="shared" si="3"/>
        <v>37.75</v>
      </c>
      <c r="H121" t="s">
        <v>19</v>
      </c>
      <c r="I121">
        <v>6</v>
      </c>
      <c r="J121">
        <f t="shared" si="5"/>
        <v>85</v>
      </c>
    </row>
    <row r="122" spans="1:10" x14ac:dyDescent="0.2">
      <c r="A122" s="1">
        <v>45757</v>
      </c>
      <c r="B122">
        <v>1</v>
      </c>
      <c r="C122" t="s">
        <v>17</v>
      </c>
      <c r="D122" t="s">
        <v>8</v>
      </c>
      <c r="E122">
        <v>37</v>
      </c>
      <c r="F122">
        <v>0</v>
      </c>
      <c r="G122">
        <f t="shared" si="3"/>
        <v>36</v>
      </c>
      <c r="H122" t="s">
        <v>19</v>
      </c>
      <c r="I122">
        <v>7</v>
      </c>
      <c r="J122">
        <f t="shared" ref="J122:J141" si="6">31+28+31+10</f>
        <v>100</v>
      </c>
    </row>
    <row r="123" spans="1:10" x14ac:dyDescent="0.2">
      <c r="A123" s="1">
        <v>45757</v>
      </c>
      <c r="B123">
        <v>1</v>
      </c>
      <c r="C123" t="s">
        <v>17</v>
      </c>
      <c r="D123" t="s">
        <v>8</v>
      </c>
      <c r="E123">
        <v>36</v>
      </c>
      <c r="F123">
        <v>0</v>
      </c>
      <c r="G123">
        <f t="shared" si="3"/>
        <v>35</v>
      </c>
      <c r="H123" t="s">
        <v>19</v>
      </c>
      <c r="I123">
        <v>7</v>
      </c>
      <c r="J123">
        <f t="shared" si="6"/>
        <v>100</v>
      </c>
    </row>
    <row r="124" spans="1:10" x14ac:dyDescent="0.2">
      <c r="A124" s="1">
        <v>45757</v>
      </c>
      <c r="B124">
        <v>1</v>
      </c>
      <c r="C124" t="s">
        <v>17</v>
      </c>
      <c r="D124" t="s">
        <v>8</v>
      </c>
      <c r="E124">
        <v>38</v>
      </c>
      <c r="F124">
        <v>0</v>
      </c>
      <c r="G124">
        <f t="shared" si="3"/>
        <v>37</v>
      </c>
      <c r="H124" t="s">
        <v>19</v>
      </c>
      <c r="I124">
        <v>7</v>
      </c>
      <c r="J124">
        <f t="shared" si="6"/>
        <v>100</v>
      </c>
    </row>
    <row r="125" spans="1:10" x14ac:dyDescent="0.2">
      <c r="A125" s="1">
        <v>45757</v>
      </c>
      <c r="B125">
        <v>1</v>
      </c>
      <c r="C125" t="s">
        <v>17</v>
      </c>
      <c r="D125" t="s">
        <v>8</v>
      </c>
      <c r="E125">
        <v>38</v>
      </c>
      <c r="F125">
        <v>0</v>
      </c>
      <c r="G125">
        <f t="shared" si="3"/>
        <v>37</v>
      </c>
      <c r="H125" t="s">
        <v>19</v>
      </c>
      <c r="I125">
        <v>7</v>
      </c>
      <c r="J125">
        <f t="shared" si="6"/>
        <v>100</v>
      </c>
    </row>
    <row r="126" spans="1:10" x14ac:dyDescent="0.2">
      <c r="A126" s="1">
        <v>45757</v>
      </c>
      <c r="B126">
        <v>1</v>
      </c>
      <c r="C126" t="s">
        <v>17</v>
      </c>
      <c r="D126" t="s">
        <v>8</v>
      </c>
      <c r="E126">
        <v>38</v>
      </c>
      <c r="F126">
        <v>0</v>
      </c>
      <c r="G126">
        <f t="shared" si="3"/>
        <v>37</v>
      </c>
      <c r="H126" t="s">
        <v>19</v>
      </c>
      <c r="I126">
        <v>7</v>
      </c>
      <c r="J126">
        <f t="shared" si="6"/>
        <v>100</v>
      </c>
    </row>
    <row r="127" spans="1:10" x14ac:dyDescent="0.2">
      <c r="A127" s="1">
        <v>45757</v>
      </c>
      <c r="B127">
        <v>1</v>
      </c>
      <c r="C127" t="s">
        <v>17</v>
      </c>
      <c r="D127" t="s">
        <v>9</v>
      </c>
      <c r="E127">
        <v>36</v>
      </c>
      <c r="F127">
        <v>0</v>
      </c>
      <c r="G127">
        <f t="shared" si="3"/>
        <v>35</v>
      </c>
      <c r="H127" t="s">
        <v>19</v>
      </c>
      <c r="I127">
        <v>7</v>
      </c>
      <c r="J127">
        <f t="shared" si="6"/>
        <v>100</v>
      </c>
    </row>
    <row r="128" spans="1:10" x14ac:dyDescent="0.2">
      <c r="A128" s="1">
        <v>45757</v>
      </c>
      <c r="B128">
        <v>1</v>
      </c>
      <c r="C128" t="s">
        <v>17</v>
      </c>
      <c r="D128" t="s">
        <v>9</v>
      </c>
      <c r="E128">
        <v>37</v>
      </c>
      <c r="F128">
        <v>0</v>
      </c>
      <c r="G128">
        <f t="shared" si="3"/>
        <v>36</v>
      </c>
      <c r="H128" t="s">
        <v>19</v>
      </c>
      <c r="I128">
        <v>7</v>
      </c>
      <c r="J128">
        <f t="shared" si="6"/>
        <v>100</v>
      </c>
    </row>
    <row r="129" spans="1:10" x14ac:dyDescent="0.2">
      <c r="A129" s="1">
        <v>45757</v>
      </c>
      <c r="B129">
        <v>1</v>
      </c>
      <c r="C129" t="s">
        <v>17</v>
      </c>
      <c r="D129" t="s">
        <v>9</v>
      </c>
      <c r="E129">
        <v>36</v>
      </c>
      <c r="F129">
        <v>0</v>
      </c>
      <c r="G129">
        <f t="shared" si="3"/>
        <v>35</v>
      </c>
      <c r="H129" t="s">
        <v>19</v>
      </c>
      <c r="I129">
        <v>7</v>
      </c>
      <c r="J129">
        <f t="shared" si="6"/>
        <v>100</v>
      </c>
    </row>
    <row r="130" spans="1:10" x14ac:dyDescent="0.2">
      <c r="A130" s="1">
        <v>45757</v>
      </c>
      <c r="B130">
        <v>1</v>
      </c>
      <c r="C130" t="s">
        <v>17</v>
      </c>
      <c r="D130" t="s">
        <v>9</v>
      </c>
      <c r="E130">
        <v>39</v>
      </c>
      <c r="F130">
        <v>0</v>
      </c>
      <c r="G130">
        <f t="shared" ref="G130:G193" si="7">E130-B130</f>
        <v>38</v>
      </c>
      <c r="H130" t="s">
        <v>19</v>
      </c>
      <c r="I130">
        <v>7</v>
      </c>
      <c r="J130">
        <f t="shared" si="6"/>
        <v>100</v>
      </c>
    </row>
    <row r="131" spans="1:10" x14ac:dyDescent="0.2">
      <c r="A131" s="1">
        <v>45757</v>
      </c>
      <c r="B131">
        <v>1</v>
      </c>
      <c r="C131" t="s">
        <v>17</v>
      </c>
      <c r="D131" t="s">
        <v>9</v>
      </c>
      <c r="E131">
        <v>39</v>
      </c>
      <c r="F131">
        <v>0</v>
      </c>
      <c r="G131">
        <f t="shared" si="7"/>
        <v>38</v>
      </c>
      <c r="H131" t="s">
        <v>19</v>
      </c>
      <c r="I131">
        <v>7</v>
      </c>
      <c r="J131">
        <f t="shared" si="6"/>
        <v>100</v>
      </c>
    </row>
    <row r="132" spans="1:10" x14ac:dyDescent="0.2">
      <c r="A132" s="1">
        <v>45757</v>
      </c>
      <c r="B132">
        <v>1</v>
      </c>
      <c r="C132" t="s">
        <v>7</v>
      </c>
      <c r="D132" t="s">
        <v>8</v>
      </c>
      <c r="E132">
        <v>38</v>
      </c>
      <c r="F132">
        <v>0</v>
      </c>
      <c r="G132">
        <f t="shared" si="7"/>
        <v>37</v>
      </c>
      <c r="H132" t="s">
        <v>19</v>
      </c>
      <c r="I132">
        <v>7</v>
      </c>
      <c r="J132">
        <f t="shared" si="6"/>
        <v>100</v>
      </c>
    </row>
    <row r="133" spans="1:10" x14ac:dyDescent="0.2">
      <c r="A133" s="1">
        <v>45757</v>
      </c>
      <c r="B133">
        <v>1</v>
      </c>
      <c r="C133" t="s">
        <v>7</v>
      </c>
      <c r="D133" t="s">
        <v>8</v>
      </c>
      <c r="E133">
        <v>38</v>
      </c>
      <c r="F133">
        <v>0</v>
      </c>
      <c r="G133">
        <f t="shared" si="7"/>
        <v>37</v>
      </c>
      <c r="H133" t="s">
        <v>19</v>
      </c>
      <c r="I133">
        <v>7</v>
      </c>
      <c r="J133">
        <f t="shared" si="6"/>
        <v>100</v>
      </c>
    </row>
    <row r="134" spans="1:10" x14ac:dyDescent="0.2">
      <c r="A134" s="1">
        <v>45757</v>
      </c>
      <c r="B134">
        <v>1</v>
      </c>
      <c r="C134" t="s">
        <v>7</v>
      </c>
      <c r="D134" t="s">
        <v>8</v>
      </c>
      <c r="E134">
        <v>39</v>
      </c>
      <c r="F134">
        <v>0</v>
      </c>
      <c r="G134">
        <f t="shared" si="7"/>
        <v>38</v>
      </c>
      <c r="H134" t="s">
        <v>19</v>
      </c>
      <c r="I134">
        <v>7</v>
      </c>
      <c r="J134">
        <f t="shared" si="6"/>
        <v>100</v>
      </c>
    </row>
    <row r="135" spans="1:10" x14ac:dyDescent="0.2">
      <c r="A135" s="1">
        <v>45757</v>
      </c>
      <c r="B135">
        <v>1</v>
      </c>
      <c r="C135" t="s">
        <v>7</v>
      </c>
      <c r="D135" t="s">
        <v>8</v>
      </c>
      <c r="E135">
        <v>39</v>
      </c>
      <c r="F135">
        <v>0</v>
      </c>
      <c r="G135">
        <f t="shared" si="7"/>
        <v>38</v>
      </c>
      <c r="H135" t="s">
        <v>19</v>
      </c>
      <c r="I135">
        <v>7</v>
      </c>
      <c r="J135">
        <f t="shared" si="6"/>
        <v>100</v>
      </c>
    </row>
    <row r="136" spans="1:10" x14ac:dyDescent="0.2">
      <c r="A136" s="1">
        <v>45757</v>
      </c>
      <c r="B136">
        <v>1</v>
      </c>
      <c r="C136" t="s">
        <v>7</v>
      </c>
      <c r="D136" t="s">
        <v>8</v>
      </c>
      <c r="E136">
        <v>38</v>
      </c>
      <c r="F136">
        <v>0</v>
      </c>
      <c r="G136">
        <f t="shared" si="7"/>
        <v>37</v>
      </c>
      <c r="H136" t="s">
        <v>19</v>
      </c>
      <c r="I136">
        <v>7</v>
      </c>
      <c r="J136">
        <f t="shared" si="6"/>
        <v>100</v>
      </c>
    </row>
    <row r="137" spans="1:10" x14ac:dyDescent="0.2">
      <c r="A137" s="1">
        <v>45757</v>
      </c>
      <c r="B137">
        <v>1</v>
      </c>
      <c r="C137" t="s">
        <v>7</v>
      </c>
      <c r="D137" t="s">
        <v>9</v>
      </c>
      <c r="E137">
        <v>38</v>
      </c>
      <c r="F137">
        <v>0</v>
      </c>
      <c r="G137">
        <f t="shared" si="7"/>
        <v>37</v>
      </c>
      <c r="H137" t="s">
        <v>19</v>
      </c>
      <c r="I137">
        <v>7</v>
      </c>
      <c r="J137">
        <f t="shared" si="6"/>
        <v>100</v>
      </c>
    </row>
    <row r="138" spans="1:10" x14ac:dyDescent="0.2">
      <c r="A138" s="1">
        <v>45757</v>
      </c>
      <c r="B138">
        <v>1</v>
      </c>
      <c r="C138" t="s">
        <v>7</v>
      </c>
      <c r="D138" t="s">
        <v>9</v>
      </c>
      <c r="E138">
        <v>38</v>
      </c>
      <c r="F138">
        <v>0</v>
      </c>
      <c r="G138">
        <f t="shared" si="7"/>
        <v>37</v>
      </c>
      <c r="H138" t="s">
        <v>19</v>
      </c>
      <c r="I138">
        <v>7</v>
      </c>
      <c r="J138">
        <f t="shared" si="6"/>
        <v>100</v>
      </c>
    </row>
    <row r="139" spans="1:10" x14ac:dyDescent="0.2">
      <c r="A139" s="1">
        <v>45757</v>
      </c>
      <c r="B139">
        <v>1</v>
      </c>
      <c r="C139" t="s">
        <v>7</v>
      </c>
      <c r="D139" t="s">
        <v>9</v>
      </c>
      <c r="E139">
        <v>39</v>
      </c>
      <c r="F139">
        <v>0</v>
      </c>
      <c r="G139">
        <f t="shared" si="7"/>
        <v>38</v>
      </c>
      <c r="H139" t="s">
        <v>19</v>
      </c>
      <c r="I139">
        <v>7</v>
      </c>
      <c r="J139">
        <f t="shared" si="6"/>
        <v>100</v>
      </c>
    </row>
    <row r="140" spans="1:10" x14ac:dyDescent="0.2">
      <c r="A140" s="1">
        <v>45757</v>
      </c>
      <c r="B140">
        <v>1</v>
      </c>
      <c r="C140" t="s">
        <v>7</v>
      </c>
      <c r="D140" t="s">
        <v>9</v>
      </c>
      <c r="E140">
        <v>39</v>
      </c>
      <c r="F140">
        <v>0</v>
      </c>
      <c r="G140">
        <f t="shared" si="7"/>
        <v>38</v>
      </c>
      <c r="H140" t="s">
        <v>19</v>
      </c>
      <c r="I140">
        <v>7</v>
      </c>
      <c r="J140">
        <f t="shared" si="6"/>
        <v>100</v>
      </c>
    </row>
    <row r="141" spans="1:10" x14ac:dyDescent="0.2">
      <c r="A141" s="1">
        <v>45757</v>
      </c>
      <c r="B141">
        <v>1</v>
      </c>
      <c r="C141" t="s">
        <v>7</v>
      </c>
      <c r="D141" t="s">
        <v>9</v>
      </c>
      <c r="E141">
        <v>38</v>
      </c>
      <c r="F141">
        <v>0</v>
      </c>
      <c r="G141">
        <f t="shared" si="7"/>
        <v>37</v>
      </c>
      <c r="H141" t="s">
        <v>19</v>
      </c>
      <c r="I141">
        <v>7</v>
      </c>
      <c r="J141">
        <f t="shared" si="6"/>
        <v>100</v>
      </c>
    </row>
    <row r="142" spans="1:10" x14ac:dyDescent="0.2">
      <c r="A142" s="1">
        <v>45773</v>
      </c>
      <c r="B142">
        <v>1.5</v>
      </c>
      <c r="C142" t="s">
        <v>17</v>
      </c>
      <c r="D142" t="s">
        <v>8</v>
      </c>
      <c r="E142">
        <v>37</v>
      </c>
      <c r="F142">
        <v>0</v>
      </c>
      <c r="G142">
        <f t="shared" si="7"/>
        <v>35.5</v>
      </c>
      <c r="H142" t="s">
        <v>19</v>
      </c>
      <c r="I142">
        <v>8</v>
      </c>
      <c r="J142">
        <f t="shared" ref="J142:J161" si="8">31+28+31+26</f>
        <v>116</v>
      </c>
    </row>
    <row r="143" spans="1:10" x14ac:dyDescent="0.2">
      <c r="A143" s="1">
        <v>45773</v>
      </c>
      <c r="B143">
        <v>1.5</v>
      </c>
      <c r="C143" t="s">
        <v>17</v>
      </c>
      <c r="D143" t="s">
        <v>8</v>
      </c>
      <c r="E143">
        <v>37</v>
      </c>
      <c r="F143">
        <v>0</v>
      </c>
      <c r="G143">
        <f t="shared" si="7"/>
        <v>35.5</v>
      </c>
      <c r="H143" t="s">
        <v>19</v>
      </c>
      <c r="I143">
        <v>8</v>
      </c>
      <c r="J143">
        <f t="shared" si="8"/>
        <v>116</v>
      </c>
    </row>
    <row r="144" spans="1:10" x14ac:dyDescent="0.2">
      <c r="A144" s="1">
        <v>45773</v>
      </c>
      <c r="B144">
        <v>1.5</v>
      </c>
      <c r="C144" t="s">
        <v>17</v>
      </c>
      <c r="D144" t="s">
        <v>8</v>
      </c>
      <c r="E144">
        <v>36</v>
      </c>
      <c r="F144">
        <v>0</v>
      </c>
      <c r="G144">
        <f t="shared" si="7"/>
        <v>34.5</v>
      </c>
      <c r="H144" t="s">
        <v>19</v>
      </c>
      <c r="I144">
        <v>8</v>
      </c>
      <c r="J144">
        <f t="shared" si="8"/>
        <v>116</v>
      </c>
    </row>
    <row r="145" spans="1:10" x14ac:dyDescent="0.2">
      <c r="A145" s="1">
        <v>45773</v>
      </c>
      <c r="B145">
        <v>1.5</v>
      </c>
      <c r="C145" t="s">
        <v>17</v>
      </c>
      <c r="D145" t="s">
        <v>8</v>
      </c>
      <c r="E145">
        <v>36</v>
      </c>
      <c r="F145">
        <v>0</v>
      </c>
      <c r="G145">
        <f t="shared" si="7"/>
        <v>34.5</v>
      </c>
      <c r="H145" t="s">
        <v>19</v>
      </c>
      <c r="I145">
        <v>8</v>
      </c>
      <c r="J145">
        <f t="shared" si="8"/>
        <v>116</v>
      </c>
    </row>
    <row r="146" spans="1:10" x14ac:dyDescent="0.2">
      <c r="A146" s="1">
        <v>45773</v>
      </c>
      <c r="B146">
        <v>1.5</v>
      </c>
      <c r="C146" t="s">
        <v>17</v>
      </c>
      <c r="D146" t="s">
        <v>8</v>
      </c>
      <c r="E146">
        <v>37</v>
      </c>
      <c r="F146">
        <v>0</v>
      </c>
      <c r="G146">
        <f t="shared" si="7"/>
        <v>35.5</v>
      </c>
      <c r="H146" t="s">
        <v>19</v>
      </c>
      <c r="I146">
        <v>8</v>
      </c>
      <c r="J146">
        <f t="shared" si="8"/>
        <v>116</v>
      </c>
    </row>
    <row r="147" spans="1:10" x14ac:dyDescent="0.2">
      <c r="A147" s="1">
        <v>45773</v>
      </c>
      <c r="B147">
        <v>1.5</v>
      </c>
      <c r="C147" t="s">
        <v>17</v>
      </c>
      <c r="D147" t="s">
        <v>9</v>
      </c>
      <c r="E147">
        <v>37</v>
      </c>
      <c r="F147">
        <v>0</v>
      </c>
      <c r="G147">
        <f t="shared" si="7"/>
        <v>35.5</v>
      </c>
      <c r="H147" t="s">
        <v>19</v>
      </c>
      <c r="I147">
        <v>8</v>
      </c>
      <c r="J147">
        <f t="shared" si="8"/>
        <v>116</v>
      </c>
    </row>
    <row r="148" spans="1:10" x14ac:dyDescent="0.2">
      <c r="A148" s="1">
        <v>45773</v>
      </c>
      <c r="B148">
        <v>1.5</v>
      </c>
      <c r="C148" t="s">
        <v>17</v>
      </c>
      <c r="D148" t="s">
        <v>9</v>
      </c>
      <c r="E148">
        <v>36</v>
      </c>
      <c r="F148">
        <v>0</v>
      </c>
      <c r="G148">
        <f t="shared" si="7"/>
        <v>34.5</v>
      </c>
      <c r="H148" t="s">
        <v>19</v>
      </c>
      <c r="I148">
        <v>8</v>
      </c>
      <c r="J148">
        <f t="shared" si="8"/>
        <v>116</v>
      </c>
    </row>
    <row r="149" spans="1:10" x14ac:dyDescent="0.2">
      <c r="A149" s="1">
        <v>45773</v>
      </c>
      <c r="B149">
        <v>1.5</v>
      </c>
      <c r="C149" t="s">
        <v>17</v>
      </c>
      <c r="D149" t="s">
        <v>9</v>
      </c>
      <c r="E149">
        <v>36</v>
      </c>
      <c r="F149">
        <v>0</v>
      </c>
      <c r="G149">
        <f t="shared" si="7"/>
        <v>34.5</v>
      </c>
      <c r="H149" t="s">
        <v>19</v>
      </c>
      <c r="I149">
        <v>8</v>
      </c>
      <c r="J149">
        <f t="shared" si="8"/>
        <v>116</v>
      </c>
    </row>
    <row r="150" spans="1:10" x14ac:dyDescent="0.2">
      <c r="A150" s="1">
        <v>45773</v>
      </c>
      <c r="B150">
        <v>1.5</v>
      </c>
      <c r="C150" t="s">
        <v>17</v>
      </c>
      <c r="D150" t="s">
        <v>9</v>
      </c>
      <c r="E150">
        <v>37</v>
      </c>
      <c r="F150">
        <v>0</v>
      </c>
      <c r="G150">
        <f t="shared" si="7"/>
        <v>35.5</v>
      </c>
      <c r="H150" t="s">
        <v>19</v>
      </c>
      <c r="I150">
        <v>8</v>
      </c>
      <c r="J150">
        <f t="shared" si="8"/>
        <v>116</v>
      </c>
    </row>
    <row r="151" spans="1:10" x14ac:dyDescent="0.2">
      <c r="A151" s="1">
        <v>45773</v>
      </c>
      <c r="B151">
        <v>1.5</v>
      </c>
      <c r="C151" t="s">
        <v>17</v>
      </c>
      <c r="D151" t="s">
        <v>9</v>
      </c>
      <c r="E151">
        <v>36</v>
      </c>
      <c r="F151">
        <v>0</v>
      </c>
      <c r="G151">
        <f t="shared" si="7"/>
        <v>34.5</v>
      </c>
      <c r="H151" t="s">
        <v>19</v>
      </c>
      <c r="I151">
        <v>8</v>
      </c>
      <c r="J151">
        <f t="shared" si="8"/>
        <v>116</v>
      </c>
    </row>
    <row r="152" spans="1:10" x14ac:dyDescent="0.2">
      <c r="A152" s="1">
        <v>45773</v>
      </c>
      <c r="B152">
        <v>1.5</v>
      </c>
      <c r="C152" t="s">
        <v>7</v>
      </c>
      <c r="D152" t="s">
        <v>8</v>
      </c>
      <c r="E152">
        <v>37</v>
      </c>
      <c r="F152">
        <v>0</v>
      </c>
      <c r="G152">
        <f t="shared" si="7"/>
        <v>35.5</v>
      </c>
      <c r="H152" t="s">
        <v>19</v>
      </c>
      <c r="I152">
        <v>8</v>
      </c>
      <c r="J152">
        <f t="shared" si="8"/>
        <v>116</v>
      </c>
    </row>
    <row r="153" spans="1:10" x14ac:dyDescent="0.2">
      <c r="A153" s="1">
        <v>45773</v>
      </c>
      <c r="B153">
        <v>1.5</v>
      </c>
      <c r="C153" t="s">
        <v>7</v>
      </c>
      <c r="D153" t="s">
        <v>8</v>
      </c>
      <c r="E153">
        <v>38</v>
      </c>
      <c r="F153">
        <v>0</v>
      </c>
      <c r="G153">
        <f t="shared" si="7"/>
        <v>36.5</v>
      </c>
      <c r="H153" t="s">
        <v>19</v>
      </c>
      <c r="I153">
        <v>8</v>
      </c>
      <c r="J153">
        <f t="shared" si="8"/>
        <v>116</v>
      </c>
    </row>
    <row r="154" spans="1:10" x14ac:dyDescent="0.2">
      <c r="A154" s="1">
        <v>45773</v>
      </c>
      <c r="B154">
        <v>1.5</v>
      </c>
      <c r="C154" t="s">
        <v>7</v>
      </c>
      <c r="D154" t="s">
        <v>8</v>
      </c>
      <c r="E154">
        <v>38</v>
      </c>
      <c r="F154">
        <v>0</v>
      </c>
      <c r="G154">
        <f t="shared" si="7"/>
        <v>36.5</v>
      </c>
      <c r="H154" t="s">
        <v>19</v>
      </c>
      <c r="I154">
        <v>8</v>
      </c>
      <c r="J154">
        <f t="shared" si="8"/>
        <v>116</v>
      </c>
    </row>
    <row r="155" spans="1:10" x14ac:dyDescent="0.2">
      <c r="A155" s="1">
        <v>45773</v>
      </c>
      <c r="B155">
        <v>1.5</v>
      </c>
      <c r="C155" t="s">
        <v>7</v>
      </c>
      <c r="D155" t="s">
        <v>8</v>
      </c>
      <c r="E155">
        <v>38</v>
      </c>
      <c r="F155">
        <v>0</v>
      </c>
      <c r="G155">
        <f t="shared" si="7"/>
        <v>36.5</v>
      </c>
      <c r="H155" t="s">
        <v>19</v>
      </c>
      <c r="I155">
        <v>8</v>
      </c>
      <c r="J155">
        <f t="shared" si="8"/>
        <v>116</v>
      </c>
    </row>
    <row r="156" spans="1:10" x14ac:dyDescent="0.2">
      <c r="A156" s="1">
        <v>45773</v>
      </c>
      <c r="B156">
        <v>1.5</v>
      </c>
      <c r="C156" t="s">
        <v>7</v>
      </c>
      <c r="D156" t="s">
        <v>8</v>
      </c>
      <c r="E156">
        <v>39</v>
      </c>
      <c r="F156">
        <v>0</v>
      </c>
      <c r="G156">
        <f t="shared" si="7"/>
        <v>37.5</v>
      </c>
      <c r="H156" t="s">
        <v>19</v>
      </c>
      <c r="I156">
        <v>8</v>
      </c>
      <c r="J156">
        <f t="shared" si="8"/>
        <v>116</v>
      </c>
    </row>
    <row r="157" spans="1:10" x14ac:dyDescent="0.2">
      <c r="A157" s="1">
        <v>45773</v>
      </c>
      <c r="B157">
        <v>1.5</v>
      </c>
      <c r="C157" t="s">
        <v>7</v>
      </c>
      <c r="D157" t="s">
        <v>9</v>
      </c>
      <c r="E157">
        <v>37</v>
      </c>
      <c r="F157">
        <v>0</v>
      </c>
      <c r="G157">
        <f t="shared" si="7"/>
        <v>35.5</v>
      </c>
      <c r="H157" t="s">
        <v>19</v>
      </c>
      <c r="I157">
        <v>8</v>
      </c>
      <c r="J157">
        <f t="shared" si="8"/>
        <v>116</v>
      </c>
    </row>
    <row r="158" spans="1:10" x14ac:dyDescent="0.2">
      <c r="A158" s="1">
        <v>45773</v>
      </c>
      <c r="B158">
        <v>1.5</v>
      </c>
      <c r="C158" t="s">
        <v>7</v>
      </c>
      <c r="D158" t="s">
        <v>9</v>
      </c>
      <c r="E158">
        <v>38</v>
      </c>
      <c r="F158">
        <v>0</v>
      </c>
      <c r="G158">
        <f t="shared" si="7"/>
        <v>36.5</v>
      </c>
      <c r="H158" t="s">
        <v>19</v>
      </c>
      <c r="I158">
        <v>8</v>
      </c>
      <c r="J158">
        <f t="shared" si="8"/>
        <v>116</v>
      </c>
    </row>
    <row r="159" spans="1:10" x14ac:dyDescent="0.2">
      <c r="A159" s="1">
        <v>45773</v>
      </c>
      <c r="B159">
        <v>1.5</v>
      </c>
      <c r="C159" t="s">
        <v>7</v>
      </c>
      <c r="D159" t="s">
        <v>9</v>
      </c>
      <c r="E159">
        <v>38</v>
      </c>
      <c r="F159">
        <v>0</v>
      </c>
      <c r="G159">
        <f t="shared" si="7"/>
        <v>36.5</v>
      </c>
      <c r="H159" t="s">
        <v>19</v>
      </c>
      <c r="I159">
        <v>8</v>
      </c>
      <c r="J159">
        <f t="shared" si="8"/>
        <v>116</v>
      </c>
    </row>
    <row r="160" spans="1:10" x14ac:dyDescent="0.2">
      <c r="A160" s="1">
        <v>45773</v>
      </c>
      <c r="B160">
        <v>1.5</v>
      </c>
      <c r="C160" t="s">
        <v>7</v>
      </c>
      <c r="D160" t="s">
        <v>9</v>
      </c>
      <c r="E160">
        <v>38</v>
      </c>
      <c r="F160">
        <v>0</v>
      </c>
      <c r="G160">
        <f t="shared" si="7"/>
        <v>36.5</v>
      </c>
      <c r="H160" t="s">
        <v>19</v>
      </c>
      <c r="I160">
        <v>8</v>
      </c>
      <c r="J160">
        <f t="shared" si="8"/>
        <v>116</v>
      </c>
    </row>
    <row r="161" spans="1:10" x14ac:dyDescent="0.2">
      <c r="A161" s="1">
        <v>45773</v>
      </c>
      <c r="B161">
        <v>1.5</v>
      </c>
      <c r="C161" t="s">
        <v>7</v>
      </c>
      <c r="D161" t="s">
        <v>9</v>
      </c>
      <c r="E161">
        <v>39</v>
      </c>
      <c r="F161">
        <v>0</v>
      </c>
      <c r="G161">
        <f t="shared" si="7"/>
        <v>37.5</v>
      </c>
      <c r="H161" t="s">
        <v>19</v>
      </c>
      <c r="I161">
        <v>8</v>
      </c>
      <c r="J161">
        <f t="shared" si="8"/>
        <v>116</v>
      </c>
    </row>
    <row r="162" spans="1:10" x14ac:dyDescent="0.2">
      <c r="A162" s="1">
        <v>45673</v>
      </c>
      <c r="B162">
        <v>2.25</v>
      </c>
      <c r="C162" t="s">
        <v>7</v>
      </c>
      <c r="D162" t="s">
        <v>8</v>
      </c>
      <c r="E162">
        <v>20</v>
      </c>
      <c r="F162">
        <v>0</v>
      </c>
      <c r="G162">
        <f t="shared" si="7"/>
        <v>17.75</v>
      </c>
      <c r="H162" t="s">
        <v>20</v>
      </c>
      <c r="I162">
        <v>1</v>
      </c>
      <c r="J162">
        <v>16</v>
      </c>
    </row>
    <row r="163" spans="1:10" x14ac:dyDescent="0.2">
      <c r="A163" s="1">
        <v>45673</v>
      </c>
      <c r="B163">
        <v>2.25</v>
      </c>
      <c r="C163" t="s">
        <v>7</v>
      </c>
      <c r="D163" t="s">
        <v>8</v>
      </c>
      <c r="E163">
        <v>19</v>
      </c>
      <c r="F163">
        <v>0</v>
      </c>
      <c r="G163">
        <f t="shared" si="7"/>
        <v>16.75</v>
      </c>
      <c r="H163" t="s">
        <v>20</v>
      </c>
      <c r="I163">
        <v>1</v>
      </c>
      <c r="J163">
        <v>16</v>
      </c>
    </row>
    <row r="164" spans="1:10" x14ac:dyDescent="0.2">
      <c r="A164" s="1">
        <v>45673</v>
      </c>
      <c r="B164">
        <v>2.25</v>
      </c>
      <c r="C164" t="s">
        <v>7</v>
      </c>
      <c r="D164" t="s">
        <v>8</v>
      </c>
      <c r="E164">
        <v>19</v>
      </c>
      <c r="F164">
        <v>0</v>
      </c>
      <c r="G164">
        <f t="shared" si="7"/>
        <v>16.75</v>
      </c>
      <c r="H164" t="s">
        <v>20</v>
      </c>
      <c r="I164">
        <v>1</v>
      </c>
      <c r="J164">
        <v>16</v>
      </c>
    </row>
    <row r="165" spans="1:10" x14ac:dyDescent="0.2">
      <c r="A165" s="1">
        <v>45673</v>
      </c>
      <c r="B165">
        <v>2.25</v>
      </c>
      <c r="C165" t="s">
        <v>7</v>
      </c>
      <c r="D165" t="s">
        <v>8</v>
      </c>
      <c r="E165">
        <v>22</v>
      </c>
      <c r="F165">
        <v>0</v>
      </c>
      <c r="G165">
        <f t="shared" si="7"/>
        <v>19.75</v>
      </c>
      <c r="H165" t="s">
        <v>20</v>
      </c>
      <c r="I165">
        <v>1</v>
      </c>
      <c r="J165">
        <v>16</v>
      </c>
    </row>
    <row r="166" spans="1:10" x14ac:dyDescent="0.2">
      <c r="A166" s="1">
        <v>45673</v>
      </c>
      <c r="B166">
        <v>2.25</v>
      </c>
      <c r="C166" t="s">
        <v>7</v>
      </c>
      <c r="D166" t="s">
        <v>8</v>
      </c>
      <c r="E166">
        <v>22</v>
      </c>
      <c r="F166">
        <v>0</v>
      </c>
      <c r="G166">
        <f t="shared" si="7"/>
        <v>19.75</v>
      </c>
      <c r="H166" t="s">
        <v>20</v>
      </c>
      <c r="I166">
        <v>1</v>
      </c>
      <c r="J166">
        <v>16</v>
      </c>
    </row>
    <row r="167" spans="1:10" x14ac:dyDescent="0.2">
      <c r="A167" s="1">
        <v>45673</v>
      </c>
      <c r="B167">
        <v>2.25</v>
      </c>
      <c r="C167" t="s">
        <v>7</v>
      </c>
      <c r="D167" t="s">
        <v>9</v>
      </c>
      <c r="E167">
        <v>20</v>
      </c>
      <c r="F167">
        <v>0</v>
      </c>
      <c r="G167">
        <f t="shared" si="7"/>
        <v>17.75</v>
      </c>
      <c r="H167" t="s">
        <v>20</v>
      </c>
      <c r="I167">
        <v>1</v>
      </c>
      <c r="J167">
        <v>16</v>
      </c>
    </row>
    <row r="168" spans="1:10" x14ac:dyDescent="0.2">
      <c r="A168" s="1">
        <v>45673</v>
      </c>
      <c r="B168">
        <v>2.25</v>
      </c>
      <c r="C168" t="s">
        <v>7</v>
      </c>
      <c r="D168" t="s">
        <v>9</v>
      </c>
      <c r="E168">
        <v>19</v>
      </c>
      <c r="F168">
        <v>0</v>
      </c>
      <c r="G168">
        <f t="shared" si="7"/>
        <v>16.75</v>
      </c>
      <c r="H168" t="s">
        <v>20</v>
      </c>
      <c r="I168">
        <v>1</v>
      </c>
      <c r="J168">
        <v>16</v>
      </c>
    </row>
    <row r="169" spans="1:10" x14ac:dyDescent="0.2">
      <c r="A169" s="1">
        <v>45673</v>
      </c>
      <c r="B169">
        <v>2.25</v>
      </c>
      <c r="C169" t="s">
        <v>7</v>
      </c>
      <c r="D169" t="s">
        <v>9</v>
      </c>
      <c r="E169">
        <v>19</v>
      </c>
      <c r="F169">
        <v>0</v>
      </c>
      <c r="G169">
        <f t="shared" si="7"/>
        <v>16.75</v>
      </c>
      <c r="H169" t="s">
        <v>20</v>
      </c>
      <c r="I169">
        <v>1</v>
      </c>
      <c r="J169">
        <v>16</v>
      </c>
    </row>
    <row r="170" spans="1:10" x14ac:dyDescent="0.2">
      <c r="A170" s="1">
        <v>45673</v>
      </c>
      <c r="B170">
        <v>2.25</v>
      </c>
      <c r="C170" t="s">
        <v>7</v>
      </c>
      <c r="D170" t="s">
        <v>9</v>
      </c>
      <c r="E170">
        <v>22</v>
      </c>
      <c r="F170">
        <v>0</v>
      </c>
      <c r="G170">
        <f t="shared" si="7"/>
        <v>19.75</v>
      </c>
      <c r="H170" t="s">
        <v>20</v>
      </c>
      <c r="I170">
        <v>1</v>
      </c>
      <c r="J170">
        <v>16</v>
      </c>
    </row>
    <row r="171" spans="1:10" x14ac:dyDescent="0.2">
      <c r="A171" s="1">
        <v>45673</v>
      </c>
      <c r="B171">
        <v>2.25</v>
      </c>
      <c r="C171" t="s">
        <v>7</v>
      </c>
      <c r="D171" t="s">
        <v>9</v>
      </c>
      <c r="E171">
        <v>22</v>
      </c>
      <c r="F171">
        <v>0</v>
      </c>
      <c r="G171">
        <f t="shared" si="7"/>
        <v>19.75</v>
      </c>
      <c r="H171" t="s">
        <v>20</v>
      </c>
      <c r="I171">
        <v>1</v>
      </c>
      <c r="J171">
        <v>16</v>
      </c>
    </row>
    <row r="172" spans="1:10" x14ac:dyDescent="0.2">
      <c r="A172" s="1">
        <v>45673</v>
      </c>
      <c r="B172">
        <v>2.25</v>
      </c>
      <c r="C172" t="s">
        <v>17</v>
      </c>
      <c r="D172" t="s">
        <v>8</v>
      </c>
      <c r="E172">
        <v>23</v>
      </c>
      <c r="F172">
        <v>0</v>
      </c>
      <c r="G172">
        <f t="shared" si="7"/>
        <v>20.75</v>
      </c>
      <c r="H172" t="s">
        <v>20</v>
      </c>
      <c r="I172">
        <v>1</v>
      </c>
      <c r="J172">
        <v>16</v>
      </c>
    </row>
    <row r="173" spans="1:10" x14ac:dyDescent="0.2">
      <c r="A173" s="1">
        <v>45673</v>
      </c>
      <c r="B173">
        <v>2.25</v>
      </c>
      <c r="C173" t="s">
        <v>17</v>
      </c>
      <c r="D173" t="s">
        <v>8</v>
      </c>
      <c r="E173">
        <v>23</v>
      </c>
      <c r="F173">
        <v>0</v>
      </c>
      <c r="G173">
        <f t="shared" si="7"/>
        <v>20.75</v>
      </c>
      <c r="H173" t="s">
        <v>20</v>
      </c>
      <c r="I173">
        <v>1</v>
      </c>
      <c r="J173">
        <v>16</v>
      </c>
    </row>
    <row r="174" spans="1:10" x14ac:dyDescent="0.2">
      <c r="A174" s="1">
        <v>45673</v>
      </c>
      <c r="B174">
        <v>2.25</v>
      </c>
      <c r="C174" t="s">
        <v>17</v>
      </c>
      <c r="D174" t="s">
        <v>8</v>
      </c>
      <c r="E174">
        <v>23</v>
      </c>
      <c r="F174">
        <v>0</v>
      </c>
      <c r="G174">
        <f t="shared" si="7"/>
        <v>20.75</v>
      </c>
      <c r="H174" t="s">
        <v>20</v>
      </c>
      <c r="I174">
        <v>1</v>
      </c>
      <c r="J174">
        <v>16</v>
      </c>
    </row>
    <row r="175" spans="1:10" x14ac:dyDescent="0.2">
      <c r="A175" s="1">
        <v>45673</v>
      </c>
      <c r="B175">
        <v>2.25</v>
      </c>
      <c r="C175" t="s">
        <v>17</v>
      </c>
      <c r="D175" t="s">
        <v>8</v>
      </c>
      <c r="E175">
        <v>23</v>
      </c>
      <c r="F175">
        <v>0</v>
      </c>
      <c r="G175">
        <f t="shared" si="7"/>
        <v>20.75</v>
      </c>
      <c r="H175" t="s">
        <v>20</v>
      </c>
      <c r="I175">
        <v>1</v>
      </c>
      <c r="J175">
        <v>16</v>
      </c>
    </row>
    <row r="176" spans="1:10" x14ac:dyDescent="0.2">
      <c r="A176" s="1">
        <v>45673</v>
      </c>
      <c r="B176">
        <v>2.25</v>
      </c>
      <c r="C176" t="s">
        <v>17</v>
      </c>
      <c r="D176" t="s">
        <v>8</v>
      </c>
      <c r="E176">
        <v>22</v>
      </c>
      <c r="F176">
        <v>0</v>
      </c>
      <c r="G176">
        <f t="shared" si="7"/>
        <v>19.75</v>
      </c>
      <c r="H176" t="s">
        <v>20</v>
      </c>
      <c r="I176">
        <v>1</v>
      </c>
      <c r="J176">
        <v>16</v>
      </c>
    </row>
    <row r="177" spans="1:10" x14ac:dyDescent="0.2">
      <c r="A177" s="1">
        <v>45673</v>
      </c>
      <c r="B177">
        <v>2.25</v>
      </c>
      <c r="C177" t="s">
        <v>17</v>
      </c>
      <c r="D177" t="s">
        <v>9</v>
      </c>
      <c r="E177">
        <v>22</v>
      </c>
      <c r="F177">
        <v>0</v>
      </c>
      <c r="G177">
        <f t="shared" si="7"/>
        <v>19.75</v>
      </c>
      <c r="H177" t="s">
        <v>20</v>
      </c>
      <c r="I177">
        <v>1</v>
      </c>
      <c r="J177">
        <v>16</v>
      </c>
    </row>
    <row r="178" spans="1:10" x14ac:dyDescent="0.2">
      <c r="A178" s="1">
        <v>45673</v>
      </c>
      <c r="B178">
        <v>2.25</v>
      </c>
      <c r="C178" t="s">
        <v>17</v>
      </c>
      <c r="D178" t="s">
        <v>9</v>
      </c>
      <c r="E178">
        <v>22</v>
      </c>
      <c r="F178">
        <v>0</v>
      </c>
      <c r="G178">
        <f t="shared" si="7"/>
        <v>19.75</v>
      </c>
      <c r="H178" t="s">
        <v>20</v>
      </c>
      <c r="I178">
        <v>1</v>
      </c>
      <c r="J178">
        <v>16</v>
      </c>
    </row>
    <row r="179" spans="1:10" x14ac:dyDescent="0.2">
      <c r="A179" s="1">
        <v>45673</v>
      </c>
      <c r="B179">
        <v>2.25</v>
      </c>
      <c r="C179" t="s">
        <v>17</v>
      </c>
      <c r="D179" t="s">
        <v>9</v>
      </c>
      <c r="E179">
        <v>22</v>
      </c>
      <c r="F179">
        <v>0</v>
      </c>
      <c r="G179">
        <f t="shared" si="7"/>
        <v>19.75</v>
      </c>
      <c r="H179" t="s">
        <v>20</v>
      </c>
      <c r="I179">
        <v>1</v>
      </c>
      <c r="J179">
        <v>16</v>
      </c>
    </row>
    <row r="180" spans="1:10" x14ac:dyDescent="0.2">
      <c r="A180" s="1">
        <v>45673</v>
      </c>
      <c r="B180">
        <v>2.25</v>
      </c>
      <c r="C180" t="s">
        <v>17</v>
      </c>
      <c r="D180" t="s">
        <v>9</v>
      </c>
      <c r="E180">
        <v>23</v>
      </c>
      <c r="F180">
        <v>0</v>
      </c>
      <c r="G180">
        <f t="shared" si="7"/>
        <v>20.75</v>
      </c>
      <c r="H180" t="s">
        <v>20</v>
      </c>
      <c r="I180">
        <v>1</v>
      </c>
      <c r="J180">
        <v>16</v>
      </c>
    </row>
    <row r="181" spans="1:10" x14ac:dyDescent="0.2">
      <c r="A181" s="1">
        <v>45673</v>
      </c>
      <c r="B181">
        <v>2.25</v>
      </c>
      <c r="C181" t="s">
        <v>17</v>
      </c>
      <c r="D181" t="s">
        <v>9</v>
      </c>
      <c r="E181">
        <v>24</v>
      </c>
      <c r="F181">
        <v>0</v>
      </c>
      <c r="G181">
        <f t="shared" si="7"/>
        <v>21.75</v>
      </c>
      <c r="H181" t="s">
        <v>20</v>
      </c>
      <c r="I181">
        <v>1</v>
      </c>
      <c r="J181">
        <v>16</v>
      </c>
    </row>
    <row r="182" spans="1:10" x14ac:dyDescent="0.2">
      <c r="A182" s="1">
        <v>45687</v>
      </c>
      <c r="B182">
        <v>2.5</v>
      </c>
      <c r="C182" t="s">
        <v>7</v>
      </c>
      <c r="D182" t="s">
        <v>8</v>
      </c>
      <c r="E182">
        <v>23</v>
      </c>
      <c r="F182">
        <v>0</v>
      </c>
      <c r="G182">
        <f t="shared" si="7"/>
        <v>20.5</v>
      </c>
      <c r="H182" t="s">
        <v>20</v>
      </c>
      <c r="I182">
        <v>2</v>
      </c>
      <c r="J182">
        <v>30</v>
      </c>
    </row>
    <row r="183" spans="1:10" x14ac:dyDescent="0.2">
      <c r="A183" s="1">
        <v>45687</v>
      </c>
      <c r="B183">
        <v>2.5</v>
      </c>
      <c r="C183" t="s">
        <v>7</v>
      </c>
      <c r="D183" t="s">
        <v>8</v>
      </c>
      <c r="E183">
        <v>22</v>
      </c>
      <c r="F183">
        <v>0</v>
      </c>
      <c r="G183">
        <f t="shared" si="7"/>
        <v>19.5</v>
      </c>
      <c r="H183" t="s">
        <v>20</v>
      </c>
      <c r="I183">
        <v>2</v>
      </c>
      <c r="J183">
        <v>30</v>
      </c>
    </row>
    <row r="184" spans="1:10" x14ac:dyDescent="0.2">
      <c r="A184" s="1">
        <v>45687</v>
      </c>
      <c r="B184">
        <v>2.5</v>
      </c>
      <c r="C184" t="s">
        <v>7</v>
      </c>
      <c r="D184" t="s">
        <v>8</v>
      </c>
      <c r="E184">
        <v>22</v>
      </c>
      <c r="F184">
        <v>0</v>
      </c>
      <c r="G184">
        <f t="shared" si="7"/>
        <v>19.5</v>
      </c>
      <c r="H184" t="s">
        <v>20</v>
      </c>
      <c r="I184">
        <v>2</v>
      </c>
      <c r="J184">
        <v>30</v>
      </c>
    </row>
    <row r="185" spans="1:10" x14ac:dyDescent="0.2">
      <c r="A185" s="1">
        <v>45687</v>
      </c>
      <c r="B185">
        <v>2.5</v>
      </c>
      <c r="C185" t="s">
        <v>7</v>
      </c>
      <c r="D185" t="s">
        <v>8</v>
      </c>
      <c r="E185">
        <v>23</v>
      </c>
      <c r="F185">
        <v>0</v>
      </c>
      <c r="G185">
        <f t="shared" si="7"/>
        <v>20.5</v>
      </c>
      <c r="H185" t="s">
        <v>20</v>
      </c>
      <c r="I185">
        <v>2</v>
      </c>
      <c r="J185">
        <v>30</v>
      </c>
    </row>
    <row r="186" spans="1:10" x14ac:dyDescent="0.2">
      <c r="A186" s="1">
        <v>45687</v>
      </c>
      <c r="B186">
        <v>2.5</v>
      </c>
      <c r="C186" t="s">
        <v>7</v>
      </c>
      <c r="D186" t="s">
        <v>8</v>
      </c>
      <c r="E186">
        <v>23</v>
      </c>
      <c r="F186">
        <v>0</v>
      </c>
      <c r="G186">
        <f t="shared" si="7"/>
        <v>20.5</v>
      </c>
      <c r="H186" t="s">
        <v>20</v>
      </c>
      <c r="I186">
        <v>2</v>
      </c>
      <c r="J186">
        <v>30</v>
      </c>
    </row>
    <row r="187" spans="1:10" x14ac:dyDescent="0.2">
      <c r="A187" s="1">
        <v>45687</v>
      </c>
      <c r="B187">
        <v>2.5</v>
      </c>
      <c r="C187" t="s">
        <v>7</v>
      </c>
      <c r="D187" t="s">
        <v>9</v>
      </c>
      <c r="E187">
        <v>23</v>
      </c>
      <c r="F187">
        <v>0</v>
      </c>
      <c r="G187">
        <f t="shared" si="7"/>
        <v>20.5</v>
      </c>
      <c r="H187" t="s">
        <v>20</v>
      </c>
      <c r="I187">
        <v>2</v>
      </c>
      <c r="J187">
        <v>30</v>
      </c>
    </row>
    <row r="188" spans="1:10" x14ac:dyDescent="0.2">
      <c r="A188" s="1">
        <v>45687</v>
      </c>
      <c r="B188">
        <v>2.5</v>
      </c>
      <c r="C188" t="s">
        <v>7</v>
      </c>
      <c r="D188" t="s">
        <v>9</v>
      </c>
      <c r="E188">
        <v>22</v>
      </c>
      <c r="F188">
        <v>0</v>
      </c>
      <c r="G188">
        <f t="shared" si="7"/>
        <v>19.5</v>
      </c>
      <c r="H188" t="s">
        <v>20</v>
      </c>
      <c r="I188">
        <v>2</v>
      </c>
      <c r="J188">
        <v>30</v>
      </c>
    </row>
    <row r="189" spans="1:10" x14ac:dyDescent="0.2">
      <c r="A189" s="1">
        <v>45687</v>
      </c>
      <c r="B189">
        <v>2.5</v>
      </c>
      <c r="C189" t="s">
        <v>7</v>
      </c>
      <c r="D189" t="s">
        <v>9</v>
      </c>
      <c r="E189">
        <v>22</v>
      </c>
      <c r="F189">
        <v>0</v>
      </c>
      <c r="G189">
        <f t="shared" si="7"/>
        <v>19.5</v>
      </c>
      <c r="H189" t="s">
        <v>20</v>
      </c>
      <c r="I189">
        <v>2</v>
      </c>
      <c r="J189">
        <v>30</v>
      </c>
    </row>
    <row r="190" spans="1:10" x14ac:dyDescent="0.2">
      <c r="A190" s="1">
        <v>45687</v>
      </c>
      <c r="B190">
        <v>2.5</v>
      </c>
      <c r="C190" t="s">
        <v>7</v>
      </c>
      <c r="D190" t="s">
        <v>9</v>
      </c>
      <c r="E190">
        <v>23</v>
      </c>
      <c r="F190">
        <v>0</v>
      </c>
      <c r="G190">
        <f t="shared" si="7"/>
        <v>20.5</v>
      </c>
      <c r="H190" t="s">
        <v>20</v>
      </c>
      <c r="I190">
        <v>2</v>
      </c>
      <c r="J190">
        <v>30</v>
      </c>
    </row>
    <row r="191" spans="1:10" x14ac:dyDescent="0.2">
      <c r="A191" s="1">
        <v>45687</v>
      </c>
      <c r="B191">
        <v>2.5</v>
      </c>
      <c r="C191" t="s">
        <v>7</v>
      </c>
      <c r="D191" t="s">
        <v>9</v>
      </c>
      <c r="E191">
        <v>23</v>
      </c>
      <c r="F191">
        <v>0</v>
      </c>
      <c r="G191">
        <f t="shared" si="7"/>
        <v>20.5</v>
      </c>
      <c r="H191" t="s">
        <v>20</v>
      </c>
      <c r="I191">
        <v>2</v>
      </c>
      <c r="J191">
        <v>30</v>
      </c>
    </row>
    <row r="192" spans="1:10" x14ac:dyDescent="0.2">
      <c r="A192" s="1">
        <v>45687</v>
      </c>
      <c r="B192">
        <v>2.5</v>
      </c>
      <c r="C192" t="s">
        <v>17</v>
      </c>
      <c r="D192" t="s">
        <v>8</v>
      </c>
      <c r="E192">
        <v>22</v>
      </c>
      <c r="F192">
        <v>0</v>
      </c>
      <c r="G192">
        <f t="shared" si="7"/>
        <v>19.5</v>
      </c>
      <c r="H192" t="s">
        <v>20</v>
      </c>
      <c r="I192">
        <v>2</v>
      </c>
      <c r="J192">
        <v>30</v>
      </c>
    </row>
    <row r="193" spans="1:10" x14ac:dyDescent="0.2">
      <c r="A193" s="1">
        <v>45687</v>
      </c>
      <c r="B193">
        <v>2.5</v>
      </c>
      <c r="C193" t="s">
        <v>17</v>
      </c>
      <c r="D193" t="s">
        <v>8</v>
      </c>
      <c r="E193">
        <v>21</v>
      </c>
      <c r="F193">
        <v>0</v>
      </c>
      <c r="G193">
        <f t="shared" si="7"/>
        <v>18.5</v>
      </c>
      <c r="H193" t="s">
        <v>20</v>
      </c>
      <c r="I193">
        <v>2</v>
      </c>
      <c r="J193">
        <v>30</v>
      </c>
    </row>
    <row r="194" spans="1:10" x14ac:dyDescent="0.2">
      <c r="A194" s="1">
        <v>45687</v>
      </c>
      <c r="B194">
        <v>2.5</v>
      </c>
      <c r="C194" t="s">
        <v>17</v>
      </c>
      <c r="D194" t="s">
        <v>8</v>
      </c>
      <c r="E194">
        <v>22</v>
      </c>
      <c r="F194">
        <v>0</v>
      </c>
      <c r="G194">
        <f t="shared" ref="G194:G257" si="9">E194-B194</f>
        <v>19.5</v>
      </c>
      <c r="H194" t="s">
        <v>20</v>
      </c>
      <c r="I194">
        <v>2</v>
      </c>
      <c r="J194">
        <v>30</v>
      </c>
    </row>
    <row r="195" spans="1:10" x14ac:dyDescent="0.2">
      <c r="A195" s="1">
        <v>45687</v>
      </c>
      <c r="B195">
        <v>2.5</v>
      </c>
      <c r="C195" t="s">
        <v>17</v>
      </c>
      <c r="D195" t="s">
        <v>8</v>
      </c>
      <c r="E195">
        <v>23</v>
      </c>
      <c r="F195">
        <v>0</v>
      </c>
      <c r="G195">
        <f t="shared" si="9"/>
        <v>20.5</v>
      </c>
      <c r="H195" t="s">
        <v>20</v>
      </c>
      <c r="I195">
        <v>2</v>
      </c>
      <c r="J195">
        <v>30</v>
      </c>
    </row>
    <row r="196" spans="1:10" x14ac:dyDescent="0.2">
      <c r="A196" s="1">
        <v>45687</v>
      </c>
      <c r="B196">
        <v>2.5</v>
      </c>
      <c r="C196" t="s">
        <v>17</v>
      </c>
      <c r="D196" t="s">
        <v>8</v>
      </c>
      <c r="E196">
        <v>22</v>
      </c>
      <c r="F196">
        <v>0</v>
      </c>
      <c r="G196">
        <f t="shared" si="9"/>
        <v>19.5</v>
      </c>
      <c r="H196" t="s">
        <v>20</v>
      </c>
      <c r="I196">
        <v>2</v>
      </c>
      <c r="J196">
        <v>30</v>
      </c>
    </row>
    <row r="197" spans="1:10" x14ac:dyDescent="0.2">
      <c r="A197" s="1">
        <v>45687</v>
      </c>
      <c r="B197">
        <v>2.5</v>
      </c>
      <c r="C197" t="s">
        <v>17</v>
      </c>
      <c r="D197" t="s">
        <v>9</v>
      </c>
      <c r="E197">
        <v>22</v>
      </c>
      <c r="F197">
        <v>0</v>
      </c>
      <c r="G197">
        <f t="shared" si="9"/>
        <v>19.5</v>
      </c>
      <c r="H197" t="s">
        <v>20</v>
      </c>
      <c r="I197">
        <v>2</v>
      </c>
      <c r="J197">
        <v>30</v>
      </c>
    </row>
    <row r="198" spans="1:10" x14ac:dyDescent="0.2">
      <c r="A198" s="1">
        <v>45687</v>
      </c>
      <c r="B198">
        <v>2.5</v>
      </c>
      <c r="C198" t="s">
        <v>17</v>
      </c>
      <c r="D198" t="s">
        <v>9</v>
      </c>
      <c r="E198">
        <v>23</v>
      </c>
      <c r="F198">
        <v>0</v>
      </c>
      <c r="G198">
        <f t="shared" si="9"/>
        <v>20.5</v>
      </c>
      <c r="H198" t="s">
        <v>20</v>
      </c>
      <c r="I198">
        <v>2</v>
      </c>
      <c r="J198">
        <v>30</v>
      </c>
    </row>
    <row r="199" spans="1:10" x14ac:dyDescent="0.2">
      <c r="A199" s="1">
        <v>45687</v>
      </c>
      <c r="B199">
        <v>2.5</v>
      </c>
      <c r="C199" t="s">
        <v>17</v>
      </c>
      <c r="D199" t="s">
        <v>9</v>
      </c>
      <c r="E199">
        <v>22</v>
      </c>
      <c r="F199">
        <v>0</v>
      </c>
      <c r="G199">
        <f t="shared" si="9"/>
        <v>19.5</v>
      </c>
      <c r="H199" t="s">
        <v>20</v>
      </c>
      <c r="I199">
        <v>2</v>
      </c>
      <c r="J199">
        <v>30</v>
      </c>
    </row>
    <row r="200" spans="1:10" x14ac:dyDescent="0.2">
      <c r="A200" s="1">
        <v>45687</v>
      </c>
      <c r="B200">
        <v>2.5</v>
      </c>
      <c r="C200" t="s">
        <v>17</v>
      </c>
      <c r="D200" t="s">
        <v>9</v>
      </c>
      <c r="E200">
        <v>22</v>
      </c>
      <c r="F200">
        <v>0</v>
      </c>
      <c r="G200">
        <f t="shared" si="9"/>
        <v>19.5</v>
      </c>
      <c r="H200" t="s">
        <v>20</v>
      </c>
      <c r="I200">
        <v>2</v>
      </c>
      <c r="J200">
        <v>30</v>
      </c>
    </row>
    <row r="201" spans="1:10" x14ac:dyDescent="0.2">
      <c r="A201" s="1">
        <v>45687</v>
      </c>
      <c r="B201">
        <v>2.5</v>
      </c>
      <c r="C201" t="s">
        <v>17</v>
      </c>
      <c r="D201" t="s">
        <v>9</v>
      </c>
      <c r="E201">
        <v>23</v>
      </c>
      <c r="F201">
        <v>0</v>
      </c>
      <c r="G201">
        <f t="shared" si="9"/>
        <v>20.5</v>
      </c>
      <c r="H201" t="s">
        <v>20</v>
      </c>
      <c r="I201">
        <v>2</v>
      </c>
      <c r="J201">
        <v>30</v>
      </c>
    </row>
    <row r="202" spans="1:10" x14ac:dyDescent="0.2">
      <c r="A202" s="1">
        <v>45700</v>
      </c>
      <c r="B202">
        <v>0</v>
      </c>
      <c r="C202" t="s">
        <v>7</v>
      </c>
      <c r="D202" t="s">
        <v>8</v>
      </c>
      <c r="E202">
        <v>20</v>
      </c>
      <c r="F202">
        <v>0</v>
      </c>
      <c r="G202">
        <f t="shared" si="9"/>
        <v>20</v>
      </c>
      <c r="H202" t="s">
        <v>20</v>
      </c>
      <c r="I202">
        <v>3</v>
      </c>
      <c r="J202">
        <f t="shared" ref="J202:J221" si="10">31+12</f>
        <v>43</v>
      </c>
    </row>
    <row r="203" spans="1:10" x14ac:dyDescent="0.2">
      <c r="A203" s="1">
        <v>45700</v>
      </c>
      <c r="B203">
        <v>0</v>
      </c>
      <c r="C203" t="s">
        <v>7</v>
      </c>
      <c r="D203" t="s">
        <v>8</v>
      </c>
      <c r="E203">
        <v>20</v>
      </c>
      <c r="F203">
        <v>0</v>
      </c>
      <c r="G203">
        <f t="shared" si="9"/>
        <v>20</v>
      </c>
      <c r="H203" t="s">
        <v>20</v>
      </c>
      <c r="I203">
        <v>3</v>
      </c>
      <c r="J203">
        <f t="shared" si="10"/>
        <v>43</v>
      </c>
    </row>
    <row r="204" spans="1:10" x14ac:dyDescent="0.2">
      <c r="A204" s="1">
        <v>45700</v>
      </c>
      <c r="B204">
        <v>0</v>
      </c>
      <c r="C204" t="s">
        <v>7</v>
      </c>
      <c r="D204" t="s">
        <v>8</v>
      </c>
      <c r="E204">
        <v>16</v>
      </c>
      <c r="F204">
        <v>3</v>
      </c>
      <c r="G204">
        <f t="shared" si="9"/>
        <v>16</v>
      </c>
      <c r="H204" t="s">
        <v>20</v>
      </c>
      <c r="I204">
        <v>3</v>
      </c>
      <c r="J204">
        <f t="shared" si="10"/>
        <v>43</v>
      </c>
    </row>
    <row r="205" spans="1:10" x14ac:dyDescent="0.2">
      <c r="A205" s="1">
        <v>45700</v>
      </c>
      <c r="B205">
        <v>0</v>
      </c>
      <c r="C205" t="s">
        <v>7</v>
      </c>
      <c r="D205" t="s">
        <v>8</v>
      </c>
      <c r="E205">
        <v>20</v>
      </c>
      <c r="F205">
        <v>0</v>
      </c>
      <c r="G205">
        <f t="shared" si="9"/>
        <v>20</v>
      </c>
      <c r="H205" t="s">
        <v>20</v>
      </c>
      <c r="I205">
        <v>3</v>
      </c>
      <c r="J205">
        <f t="shared" si="10"/>
        <v>43</v>
      </c>
    </row>
    <row r="206" spans="1:10" x14ac:dyDescent="0.2">
      <c r="A206" s="1">
        <v>45700</v>
      </c>
      <c r="B206">
        <v>0</v>
      </c>
      <c r="C206" t="s">
        <v>7</v>
      </c>
      <c r="D206" t="s">
        <v>8</v>
      </c>
      <c r="E206">
        <v>20</v>
      </c>
      <c r="F206">
        <v>2</v>
      </c>
      <c r="G206">
        <f t="shared" si="9"/>
        <v>20</v>
      </c>
      <c r="H206" t="s">
        <v>20</v>
      </c>
      <c r="I206">
        <v>3</v>
      </c>
      <c r="J206">
        <f t="shared" si="10"/>
        <v>43</v>
      </c>
    </row>
    <row r="207" spans="1:10" x14ac:dyDescent="0.2">
      <c r="A207" s="1">
        <v>45700</v>
      </c>
      <c r="B207">
        <v>0</v>
      </c>
      <c r="C207" t="s">
        <v>7</v>
      </c>
      <c r="D207" t="s">
        <v>9</v>
      </c>
      <c r="E207">
        <v>20</v>
      </c>
      <c r="F207">
        <v>0</v>
      </c>
      <c r="G207">
        <f t="shared" si="9"/>
        <v>20</v>
      </c>
      <c r="H207" t="s">
        <v>20</v>
      </c>
      <c r="I207">
        <v>3</v>
      </c>
      <c r="J207">
        <f t="shared" si="10"/>
        <v>43</v>
      </c>
    </row>
    <row r="208" spans="1:10" x14ac:dyDescent="0.2">
      <c r="A208" s="1">
        <v>45700</v>
      </c>
      <c r="B208">
        <v>0</v>
      </c>
      <c r="C208" t="s">
        <v>7</v>
      </c>
      <c r="D208" t="s">
        <v>9</v>
      </c>
      <c r="E208">
        <v>20</v>
      </c>
      <c r="F208">
        <v>0</v>
      </c>
      <c r="G208">
        <f t="shared" si="9"/>
        <v>20</v>
      </c>
      <c r="H208" t="s">
        <v>20</v>
      </c>
      <c r="I208">
        <v>3</v>
      </c>
      <c r="J208">
        <f t="shared" si="10"/>
        <v>43</v>
      </c>
    </row>
    <row r="209" spans="1:10" x14ac:dyDescent="0.2">
      <c r="A209" s="1">
        <v>45700</v>
      </c>
      <c r="B209">
        <v>0</v>
      </c>
      <c r="C209" t="s">
        <v>7</v>
      </c>
      <c r="D209" t="s">
        <v>9</v>
      </c>
      <c r="E209">
        <v>16</v>
      </c>
      <c r="F209">
        <v>3</v>
      </c>
      <c r="G209">
        <f t="shared" si="9"/>
        <v>16</v>
      </c>
      <c r="H209" t="s">
        <v>20</v>
      </c>
      <c r="I209">
        <v>3</v>
      </c>
      <c r="J209">
        <f t="shared" si="10"/>
        <v>43</v>
      </c>
    </row>
    <row r="210" spans="1:10" x14ac:dyDescent="0.2">
      <c r="A210" s="1">
        <v>45700</v>
      </c>
      <c r="B210">
        <v>0</v>
      </c>
      <c r="C210" t="s">
        <v>7</v>
      </c>
      <c r="D210" t="s">
        <v>9</v>
      </c>
      <c r="E210">
        <v>20</v>
      </c>
      <c r="F210">
        <v>3</v>
      </c>
      <c r="G210">
        <f t="shared" si="9"/>
        <v>20</v>
      </c>
      <c r="H210" t="s">
        <v>20</v>
      </c>
      <c r="I210">
        <v>3</v>
      </c>
      <c r="J210">
        <f t="shared" si="10"/>
        <v>43</v>
      </c>
    </row>
    <row r="211" spans="1:10" x14ac:dyDescent="0.2">
      <c r="A211" s="1">
        <v>45700</v>
      </c>
      <c r="B211">
        <v>0</v>
      </c>
      <c r="C211" t="s">
        <v>7</v>
      </c>
      <c r="D211" t="s">
        <v>9</v>
      </c>
      <c r="E211">
        <v>20</v>
      </c>
      <c r="F211">
        <v>2</v>
      </c>
      <c r="G211">
        <f t="shared" si="9"/>
        <v>20</v>
      </c>
      <c r="H211" t="s">
        <v>20</v>
      </c>
      <c r="I211">
        <v>3</v>
      </c>
      <c r="J211">
        <f t="shared" si="10"/>
        <v>43</v>
      </c>
    </row>
    <row r="212" spans="1:10" x14ac:dyDescent="0.2">
      <c r="A212" s="1">
        <v>45700</v>
      </c>
      <c r="B212">
        <v>0</v>
      </c>
      <c r="C212" t="s">
        <v>17</v>
      </c>
      <c r="D212" t="s">
        <v>8</v>
      </c>
      <c r="E212">
        <v>21</v>
      </c>
      <c r="F212">
        <v>0</v>
      </c>
      <c r="G212">
        <f t="shared" si="9"/>
        <v>21</v>
      </c>
      <c r="H212" t="s">
        <v>20</v>
      </c>
      <c r="I212">
        <v>3</v>
      </c>
      <c r="J212">
        <f t="shared" si="10"/>
        <v>43</v>
      </c>
    </row>
    <row r="213" spans="1:10" x14ac:dyDescent="0.2">
      <c r="A213" s="1">
        <v>45700</v>
      </c>
      <c r="B213">
        <v>0</v>
      </c>
      <c r="C213" t="s">
        <v>17</v>
      </c>
      <c r="D213" t="s">
        <v>8</v>
      </c>
      <c r="E213">
        <v>21</v>
      </c>
      <c r="F213">
        <v>0</v>
      </c>
      <c r="G213">
        <f t="shared" si="9"/>
        <v>21</v>
      </c>
      <c r="H213" t="s">
        <v>20</v>
      </c>
      <c r="I213">
        <v>3</v>
      </c>
      <c r="J213">
        <f t="shared" si="10"/>
        <v>43</v>
      </c>
    </row>
    <row r="214" spans="1:10" x14ac:dyDescent="0.2">
      <c r="A214" s="1">
        <v>45700</v>
      </c>
      <c r="B214">
        <v>0</v>
      </c>
      <c r="C214" t="s">
        <v>17</v>
      </c>
      <c r="D214" t="s">
        <v>8</v>
      </c>
      <c r="E214">
        <v>20</v>
      </c>
      <c r="F214">
        <v>0</v>
      </c>
      <c r="G214">
        <f t="shared" si="9"/>
        <v>20</v>
      </c>
      <c r="H214" t="s">
        <v>20</v>
      </c>
      <c r="I214">
        <v>3</v>
      </c>
      <c r="J214">
        <f t="shared" si="10"/>
        <v>43</v>
      </c>
    </row>
    <row r="215" spans="1:10" x14ac:dyDescent="0.2">
      <c r="A215" s="1">
        <v>45700</v>
      </c>
      <c r="B215">
        <v>0</v>
      </c>
      <c r="C215" t="s">
        <v>17</v>
      </c>
      <c r="D215" t="s">
        <v>8</v>
      </c>
      <c r="E215">
        <v>19</v>
      </c>
      <c r="F215">
        <v>0</v>
      </c>
      <c r="G215">
        <f t="shared" si="9"/>
        <v>19</v>
      </c>
      <c r="H215" t="s">
        <v>20</v>
      </c>
      <c r="I215">
        <v>3</v>
      </c>
      <c r="J215">
        <f t="shared" si="10"/>
        <v>43</v>
      </c>
    </row>
    <row r="216" spans="1:10" x14ac:dyDescent="0.2">
      <c r="A216" s="1">
        <v>45700</v>
      </c>
      <c r="B216">
        <v>0</v>
      </c>
      <c r="C216" t="s">
        <v>17</v>
      </c>
      <c r="D216" t="s">
        <v>8</v>
      </c>
      <c r="E216">
        <v>20</v>
      </c>
      <c r="F216">
        <v>0</v>
      </c>
      <c r="G216">
        <f t="shared" si="9"/>
        <v>20</v>
      </c>
      <c r="H216" t="s">
        <v>20</v>
      </c>
      <c r="I216">
        <v>3</v>
      </c>
      <c r="J216">
        <f t="shared" si="10"/>
        <v>43</v>
      </c>
    </row>
    <row r="217" spans="1:10" x14ac:dyDescent="0.2">
      <c r="A217" s="1">
        <v>45700</v>
      </c>
      <c r="B217">
        <v>0</v>
      </c>
      <c r="C217" t="s">
        <v>17</v>
      </c>
      <c r="D217" t="s">
        <v>9</v>
      </c>
      <c r="E217">
        <v>22</v>
      </c>
      <c r="F217">
        <v>0</v>
      </c>
      <c r="G217">
        <f t="shared" si="9"/>
        <v>22</v>
      </c>
      <c r="H217" t="s">
        <v>20</v>
      </c>
      <c r="I217">
        <v>3</v>
      </c>
      <c r="J217">
        <f t="shared" si="10"/>
        <v>43</v>
      </c>
    </row>
    <row r="218" spans="1:10" x14ac:dyDescent="0.2">
      <c r="A218" s="1">
        <v>45700</v>
      </c>
      <c r="B218">
        <v>0</v>
      </c>
      <c r="C218" t="s">
        <v>17</v>
      </c>
      <c r="D218" t="s">
        <v>9</v>
      </c>
      <c r="E218">
        <v>20</v>
      </c>
      <c r="F218">
        <v>0</v>
      </c>
      <c r="G218">
        <f t="shared" si="9"/>
        <v>20</v>
      </c>
      <c r="H218" t="s">
        <v>20</v>
      </c>
      <c r="I218">
        <v>3</v>
      </c>
      <c r="J218">
        <f t="shared" si="10"/>
        <v>43</v>
      </c>
    </row>
    <row r="219" spans="1:10" x14ac:dyDescent="0.2">
      <c r="A219" s="1">
        <v>45700</v>
      </c>
      <c r="B219">
        <v>0</v>
      </c>
      <c r="C219" t="s">
        <v>17</v>
      </c>
      <c r="D219" t="s">
        <v>9</v>
      </c>
      <c r="E219">
        <v>20</v>
      </c>
      <c r="F219">
        <v>0</v>
      </c>
      <c r="G219">
        <f t="shared" si="9"/>
        <v>20</v>
      </c>
      <c r="H219" t="s">
        <v>20</v>
      </c>
      <c r="I219">
        <v>3</v>
      </c>
      <c r="J219">
        <f t="shared" si="10"/>
        <v>43</v>
      </c>
    </row>
    <row r="220" spans="1:10" x14ac:dyDescent="0.2">
      <c r="A220" s="1">
        <v>45700</v>
      </c>
      <c r="B220">
        <v>0</v>
      </c>
      <c r="C220" t="s">
        <v>17</v>
      </c>
      <c r="D220" t="s">
        <v>9</v>
      </c>
      <c r="E220">
        <v>20</v>
      </c>
      <c r="F220">
        <v>0</v>
      </c>
      <c r="G220">
        <f t="shared" si="9"/>
        <v>20</v>
      </c>
      <c r="H220" t="s">
        <v>20</v>
      </c>
      <c r="I220">
        <v>3</v>
      </c>
      <c r="J220">
        <f t="shared" si="10"/>
        <v>43</v>
      </c>
    </row>
    <row r="221" spans="1:10" x14ac:dyDescent="0.2">
      <c r="A221" s="1">
        <v>45700</v>
      </c>
      <c r="B221">
        <v>0</v>
      </c>
      <c r="C221" t="s">
        <v>17</v>
      </c>
      <c r="D221" t="s">
        <v>9</v>
      </c>
      <c r="E221">
        <v>20</v>
      </c>
      <c r="F221">
        <v>0</v>
      </c>
      <c r="G221">
        <f t="shared" si="9"/>
        <v>20</v>
      </c>
      <c r="H221" t="s">
        <v>20</v>
      </c>
      <c r="I221">
        <v>3</v>
      </c>
      <c r="J221">
        <f t="shared" si="10"/>
        <v>43</v>
      </c>
    </row>
    <row r="222" spans="1:10" x14ac:dyDescent="0.2">
      <c r="A222" s="1">
        <v>45714</v>
      </c>
      <c r="B222">
        <v>0.75</v>
      </c>
      <c r="C222" t="s">
        <v>7</v>
      </c>
      <c r="D222" t="s">
        <v>8</v>
      </c>
      <c r="E222">
        <v>20</v>
      </c>
      <c r="F222">
        <v>0</v>
      </c>
      <c r="G222">
        <f t="shared" si="9"/>
        <v>19.25</v>
      </c>
      <c r="H222" t="s">
        <v>20</v>
      </c>
      <c r="I222">
        <v>4</v>
      </c>
      <c r="J222">
        <f t="shared" ref="J222:J241" si="11">31+26</f>
        <v>57</v>
      </c>
    </row>
    <row r="223" spans="1:10" x14ac:dyDescent="0.2">
      <c r="A223" s="1">
        <v>45714</v>
      </c>
      <c r="B223">
        <v>0.75</v>
      </c>
      <c r="C223" t="s">
        <v>7</v>
      </c>
      <c r="D223" t="s">
        <v>8</v>
      </c>
      <c r="E223">
        <v>22</v>
      </c>
      <c r="F223">
        <v>2</v>
      </c>
      <c r="G223">
        <f t="shared" si="9"/>
        <v>21.25</v>
      </c>
      <c r="H223" t="s">
        <v>20</v>
      </c>
      <c r="I223">
        <v>4</v>
      </c>
      <c r="J223">
        <f t="shared" si="11"/>
        <v>57</v>
      </c>
    </row>
    <row r="224" spans="1:10" x14ac:dyDescent="0.2">
      <c r="A224" s="1">
        <v>45714</v>
      </c>
      <c r="B224">
        <v>0.75</v>
      </c>
      <c r="C224" t="s">
        <v>7</v>
      </c>
      <c r="D224" t="s">
        <v>8</v>
      </c>
      <c r="E224">
        <v>21</v>
      </c>
      <c r="F224">
        <v>0</v>
      </c>
      <c r="G224">
        <f t="shared" si="9"/>
        <v>20.25</v>
      </c>
      <c r="H224" t="s">
        <v>20</v>
      </c>
      <c r="I224">
        <v>4</v>
      </c>
      <c r="J224">
        <f t="shared" si="11"/>
        <v>57</v>
      </c>
    </row>
    <row r="225" spans="1:10" x14ac:dyDescent="0.2">
      <c r="A225" s="1">
        <v>45714</v>
      </c>
      <c r="B225">
        <v>0.75</v>
      </c>
      <c r="C225" t="s">
        <v>7</v>
      </c>
      <c r="D225" t="s">
        <v>8</v>
      </c>
      <c r="E225">
        <v>19</v>
      </c>
      <c r="F225">
        <v>3</v>
      </c>
      <c r="G225">
        <f t="shared" si="9"/>
        <v>18.25</v>
      </c>
      <c r="H225" t="s">
        <v>20</v>
      </c>
      <c r="I225">
        <v>4</v>
      </c>
      <c r="J225">
        <f t="shared" si="11"/>
        <v>57</v>
      </c>
    </row>
    <row r="226" spans="1:10" x14ac:dyDescent="0.2">
      <c r="A226" s="1">
        <v>45714</v>
      </c>
      <c r="B226">
        <v>0.75</v>
      </c>
      <c r="C226" t="s">
        <v>7</v>
      </c>
      <c r="D226" t="s">
        <v>8</v>
      </c>
      <c r="E226">
        <v>18</v>
      </c>
      <c r="F226">
        <v>0</v>
      </c>
      <c r="G226">
        <f t="shared" si="9"/>
        <v>17.25</v>
      </c>
      <c r="H226" t="s">
        <v>20</v>
      </c>
      <c r="I226">
        <v>4</v>
      </c>
      <c r="J226">
        <f t="shared" si="11"/>
        <v>57</v>
      </c>
    </row>
    <row r="227" spans="1:10" x14ac:dyDescent="0.2">
      <c r="A227" s="1">
        <v>45714</v>
      </c>
      <c r="B227">
        <v>0.75</v>
      </c>
      <c r="C227" t="s">
        <v>7</v>
      </c>
      <c r="D227" t="s">
        <v>9</v>
      </c>
      <c r="E227">
        <v>20</v>
      </c>
      <c r="F227">
        <v>3</v>
      </c>
      <c r="G227">
        <f t="shared" si="9"/>
        <v>19.25</v>
      </c>
      <c r="H227" t="s">
        <v>20</v>
      </c>
      <c r="I227">
        <v>4</v>
      </c>
      <c r="J227">
        <f t="shared" si="11"/>
        <v>57</v>
      </c>
    </row>
    <row r="228" spans="1:10" x14ac:dyDescent="0.2">
      <c r="A228" s="1">
        <v>45714</v>
      </c>
      <c r="B228">
        <v>0.75</v>
      </c>
      <c r="C228" t="s">
        <v>7</v>
      </c>
      <c r="D228" t="s">
        <v>9</v>
      </c>
      <c r="E228">
        <v>22</v>
      </c>
      <c r="F228">
        <v>3</v>
      </c>
      <c r="G228">
        <f t="shared" si="9"/>
        <v>21.25</v>
      </c>
      <c r="H228" t="s">
        <v>20</v>
      </c>
      <c r="I228">
        <v>4</v>
      </c>
      <c r="J228">
        <f t="shared" si="11"/>
        <v>57</v>
      </c>
    </row>
    <row r="229" spans="1:10" x14ac:dyDescent="0.2">
      <c r="A229" s="1">
        <v>45714</v>
      </c>
      <c r="B229">
        <v>0.75</v>
      </c>
      <c r="C229" t="s">
        <v>7</v>
      </c>
      <c r="D229" t="s">
        <v>9</v>
      </c>
      <c r="E229">
        <v>21</v>
      </c>
      <c r="F229">
        <v>3</v>
      </c>
      <c r="G229">
        <f t="shared" si="9"/>
        <v>20.25</v>
      </c>
      <c r="H229" t="s">
        <v>20</v>
      </c>
      <c r="I229">
        <v>4</v>
      </c>
      <c r="J229">
        <f t="shared" si="11"/>
        <v>57</v>
      </c>
    </row>
    <row r="230" spans="1:10" x14ac:dyDescent="0.2">
      <c r="A230" s="1">
        <v>45714</v>
      </c>
      <c r="B230">
        <v>0.75</v>
      </c>
      <c r="C230" t="s">
        <v>7</v>
      </c>
      <c r="D230" t="s">
        <v>9</v>
      </c>
      <c r="E230">
        <v>19</v>
      </c>
      <c r="F230">
        <v>0</v>
      </c>
      <c r="G230">
        <f t="shared" si="9"/>
        <v>18.25</v>
      </c>
      <c r="H230" t="s">
        <v>20</v>
      </c>
      <c r="I230">
        <v>4</v>
      </c>
      <c r="J230">
        <f t="shared" si="11"/>
        <v>57</v>
      </c>
    </row>
    <row r="231" spans="1:10" x14ac:dyDescent="0.2">
      <c r="A231" s="1">
        <v>45714</v>
      </c>
      <c r="B231">
        <v>0.75</v>
      </c>
      <c r="C231" t="s">
        <v>7</v>
      </c>
      <c r="D231" t="s">
        <v>9</v>
      </c>
      <c r="E231">
        <v>18</v>
      </c>
      <c r="F231">
        <v>0</v>
      </c>
      <c r="G231">
        <f t="shared" si="9"/>
        <v>17.25</v>
      </c>
      <c r="H231" t="s">
        <v>20</v>
      </c>
      <c r="I231">
        <v>4</v>
      </c>
      <c r="J231">
        <f t="shared" si="11"/>
        <v>57</v>
      </c>
    </row>
    <row r="232" spans="1:10" x14ac:dyDescent="0.2">
      <c r="A232" s="1">
        <v>45714</v>
      </c>
      <c r="B232">
        <v>0.75</v>
      </c>
      <c r="C232" t="s">
        <v>17</v>
      </c>
      <c r="D232" t="s">
        <v>8</v>
      </c>
      <c r="E232">
        <v>21</v>
      </c>
      <c r="F232">
        <v>0</v>
      </c>
      <c r="G232">
        <f t="shared" si="9"/>
        <v>20.25</v>
      </c>
      <c r="H232" t="s">
        <v>20</v>
      </c>
      <c r="I232">
        <v>4</v>
      </c>
      <c r="J232">
        <f t="shared" si="11"/>
        <v>57</v>
      </c>
    </row>
    <row r="233" spans="1:10" x14ac:dyDescent="0.2">
      <c r="A233" s="1">
        <v>45714</v>
      </c>
      <c r="B233">
        <v>0.75</v>
      </c>
      <c r="C233" t="s">
        <v>17</v>
      </c>
      <c r="D233" t="s">
        <v>8</v>
      </c>
      <c r="E233">
        <v>20</v>
      </c>
      <c r="F233">
        <v>0</v>
      </c>
      <c r="G233">
        <f t="shared" si="9"/>
        <v>19.25</v>
      </c>
      <c r="H233" t="s">
        <v>20</v>
      </c>
      <c r="I233">
        <v>4</v>
      </c>
      <c r="J233">
        <f t="shared" si="11"/>
        <v>57</v>
      </c>
    </row>
    <row r="234" spans="1:10" x14ac:dyDescent="0.2">
      <c r="A234" s="1">
        <v>45714</v>
      </c>
      <c r="B234">
        <v>0.75</v>
      </c>
      <c r="C234" t="s">
        <v>17</v>
      </c>
      <c r="D234" t="s">
        <v>8</v>
      </c>
      <c r="E234">
        <v>21</v>
      </c>
      <c r="F234">
        <v>0</v>
      </c>
      <c r="G234">
        <f t="shared" si="9"/>
        <v>20.25</v>
      </c>
      <c r="H234" t="s">
        <v>20</v>
      </c>
      <c r="I234">
        <v>4</v>
      </c>
      <c r="J234">
        <f t="shared" si="11"/>
        <v>57</v>
      </c>
    </row>
    <row r="235" spans="1:10" x14ac:dyDescent="0.2">
      <c r="A235" s="1">
        <v>45714</v>
      </c>
      <c r="B235">
        <v>0.75</v>
      </c>
      <c r="C235" t="s">
        <v>17</v>
      </c>
      <c r="D235" t="s">
        <v>8</v>
      </c>
      <c r="E235">
        <v>21</v>
      </c>
      <c r="F235">
        <v>0</v>
      </c>
      <c r="G235">
        <f t="shared" si="9"/>
        <v>20.25</v>
      </c>
      <c r="H235" t="s">
        <v>20</v>
      </c>
      <c r="I235">
        <v>4</v>
      </c>
      <c r="J235">
        <f t="shared" si="11"/>
        <v>57</v>
      </c>
    </row>
    <row r="236" spans="1:10" x14ac:dyDescent="0.2">
      <c r="A236" s="1">
        <v>45714</v>
      </c>
      <c r="B236">
        <v>0.75</v>
      </c>
      <c r="C236" t="s">
        <v>17</v>
      </c>
      <c r="D236" t="s">
        <v>8</v>
      </c>
      <c r="E236">
        <v>21</v>
      </c>
      <c r="F236">
        <v>0</v>
      </c>
      <c r="G236">
        <f t="shared" si="9"/>
        <v>20.25</v>
      </c>
      <c r="H236" t="s">
        <v>20</v>
      </c>
      <c r="I236">
        <v>4</v>
      </c>
      <c r="J236">
        <f t="shared" si="11"/>
        <v>57</v>
      </c>
    </row>
    <row r="237" spans="1:10" x14ac:dyDescent="0.2">
      <c r="A237" s="1">
        <v>45714</v>
      </c>
      <c r="B237">
        <v>0.75</v>
      </c>
      <c r="C237" t="s">
        <v>17</v>
      </c>
      <c r="D237" t="s">
        <v>9</v>
      </c>
      <c r="E237">
        <v>20</v>
      </c>
      <c r="F237">
        <v>3</v>
      </c>
      <c r="G237">
        <f t="shared" si="9"/>
        <v>19.25</v>
      </c>
      <c r="H237" t="s">
        <v>20</v>
      </c>
      <c r="I237">
        <v>4</v>
      </c>
      <c r="J237">
        <f t="shared" si="11"/>
        <v>57</v>
      </c>
    </row>
    <row r="238" spans="1:10" x14ac:dyDescent="0.2">
      <c r="A238" s="1">
        <v>45714</v>
      </c>
      <c r="B238">
        <v>0.75</v>
      </c>
      <c r="C238" t="s">
        <v>17</v>
      </c>
      <c r="D238" t="s">
        <v>9</v>
      </c>
      <c r="E238">
        <v>21</v>
      </c>
      <c r="F238">
        <v>3</v>
      </c>
      <c r="G238">
        <f t="shared" si="9"/>
        <v>20.25</v>
      </c>
      <c r="H238" t="s">
        <v>20</v>
      </c>
      <c r="I238">
        <v>4</v>
      </c>
      <c r="J238">
        <f t="shared" si="11"/>
        <v>57</v>
      </c>
    </row>
    <row r="239" spans="1:10" x14ac:dyDescent="0.2">
      <c r="A239" s="1">
        <v>45714</v>
      </c>
      <c r="B239">
        <v>0.75</v>
      </c>
      <c r="C239" t="s">
        <v>17</v>
      </c>
      <c r="D239" t="s">
        <v>9</v>
      </c>
      <c r="E239">
        <v>20</v>
      </c>
      <c r="F239">
        <v>3</v>
      </c>
      <c r="G239">
        <f t="shared" si="9"/>
        <v>19.25</v>
      </c>
      <c r="H239" t="s">
        <v>20</v>
      </c>
      <c r="I239">
        <v>4</v>
      </c>
      <c r="J239">
        <f t="shared" si="11"/>
        <v>57</v>
      </c>
    </row>
    <row r="240" spans="1:10" x14ac:dyDescent="0.2">
      <c r="A240" s="1">
        <v>45714</v>
      </c>
      <c r="B240">
        <v>0.75</v>
      </c>
      <c r="C240" t="s">
        <v>17</v>
      </c>
      <c r="D240" t="s">
        <v>9</v>
      </c>
      <c r="E240">
        <v>20</v>
      </c>
      <c r="F240">
        <v>1</v>
      </c>
      <c r="G240">
        <f t="shared" si="9"/>
        <v>19.25</v>
      </c>
      <c r="H240" t="s">
        <v>20</v>
      </c>
      <c r="I240">
        <v>4</v>
      </c>
      <c r="J240">
        <f t="shared" si="11"/>
        <v>57</v>
      </c>
    </row>
    <row r="241" spans="1:10" x14ac:dyDescent="0.2">
      <c r="A241" s="1">
        <v>45714</v>
      </c>
      <c r="B241">
        <v>0.75</v>
      </c>
      <c r="C241" t="s">
        <v>17</v>
      </c>
      <c r="D241" t="s">
        <v>9</v>
      </c>
      <c r="E241">
        <v>22</v>
      </c>
      <c r="F241">
        <v>0</v>
      </c>
      <c r="G241">
        <f t="shared" si="9"/>
        <v>21.25</v>
      </c>
      <c r="H241" t="s">
        <v>20</v>
      </c>
      <c r="I241">
        <v>4</v>
      </c>
      <c r="J241">
        <f t="shared" si="11"/>
        <v>57</v>
      </c>
    </row>
    <row r="242" spans="1:10" x14ac:dyDescent="0.2">
      <c r="A242" s="1">
        <v>45728</v>
      </c>
      <c r="B242">
        <v>0.25</v>
      </c>
      <c r="C242" t="s">
        <v>7</v>
      </c>
      <c r="D242" t="s">
        <v>8</v>
      </c>
      <c r="E242">
        <v>22</v>
      </c>
      <c r="F242">
        <v>0</v>
      </c>
      <c r="G242">
        <f t="shared" si="9"/>
        <v>21.75</v>
      </c>
      <c r="H242" t="s">
        <v>20</v>
      </c>
      <c r="I242">
        <v>5</v>
      </c>
      <c r="J242">
        <f t="shared" ref="J242:J261" si="12">31+28+12</f>
        <v>71</v>
      </c>
    </row>
    <row r="243" spans="1:10" x14ac:dyDescent="0.2">
      <c r="A243" s="1">
        <v>45728</v>
      </c>
      <c r="B243">
        <v>0.25</v>
      </c>
      <c r="C243" t="s">
        <v>7</v>
      </c>
      <c r="D243" t="s">
        <v>8</v>
      </c>
      <c r="E243">
        <v>22</v>
      </c>
      <c r="F243">
        <v>0</v>
      </c>
      <c r="G243">
        <f t="shared" si="9"/>
        <v>21.75</v>
      </c>
      <c r="H243" t="s">
        <v>20</v>
      </c>
      <c r="I243">
        <v>5</v>
      </c>
      <c r="J243">
        <f t="shared" si="12"/>
        <v>71</v>
      </c>
    </row>
    <row r="244" spans="1:10" x14ac:dyDescent="0.2">
      <c r="A244" s="1">
        <v>45728</v>
      </c>
      <c r="B244">
        <v>0.25</v>
      </c>
      <c r="C244" t="s">
        <v>7</v>
      </c>
      <c r="D244" t="s">
        <v>8</v>
      </c>
      <c r="E244">
        <v>20</v>
      </c>
      <c r="F244">
        <v>0</v>
      </c>
      <c r="G244">
        <f t="shared" si="9"/>
        <v>19.75</v>
      </c>
      <c r="H244" t="s">
        <v>20</v>
      </c>
      <c r="I244">
        <v>5</v>
      </c>
      <c r="J244">
        <f t="shared" si="12"/>
        <v>71</v>
      </c>
    </row>
    <row r="245" spans="1:10" x14ac:dyDescent="0.2">
      <c r="A245" s="1">
        <v>45728</v>
      </c>
      <c r="B245">
        <v>0.25</v>
      </c>
      <c r="C245" t="s">
        <v>7</v>
      </c>
      <c r="D245" t="s">
        <v>8</v>
      </c>
      <c r="E245">
        <v>21</v>
      </c>
      <c r="F245">
        <v>0</v>
      </c>
      <c r="G245">
        <f t="shared" si="9"/>
        <v>20.75</v>
      </c>
      <c r="H245" t="s">
        <v>20</v>
      </c>
      <c r="I245">
        <v>5</v>
      </c>
      <c r="J245">
        <f t="shared" si="12"/>
        <v>71</v>
      </c>
    </row>
    <row r="246" spans="1:10" x14ac:dyDescent="0.2">
      <c r="A246" s="1">
        <v>45728</v>
      </c>
      <c r="B246">
        <v>0.25</v>
      </c>
      <c r="C246" t="s">
        <v>7</v>
      </c>
      <c r="D246" t="s">
        <v>8</v>
      </c>
      <c r="E246">
        <v>19</v>
      </c>
      <c r="F246">
        <v>0</v>
      </c>
      <c r="G246">
        <f t="shared" si="9"/>
        <v>18.75</v>
      </c>
      <c r="H246" t="s">
        <v>20</v>
      </c>
      <c r="I246">
        <v>5</v>
      </c>
      <c r="J246">
        <f t="shared" si="12"/>
        <v>71</v>
      </c>
    </row>
    <row r="247" spans="1:10" x14ac:dyDescent="0.2">
      <c r="A247" s="1">
        <v>45728</v>
      </c>
      <c r="B247">
        <v>0.25</v>
      </c>
      <c r="C247" t="s">
        <v>7</v>
      </c>
      <c r="D247" t="s">
        <v>9</v>
      </c>
      <c r="E247">
        <v>22</v>
      </c>
      <c r="F247">
        <v>0</v>
      </c>
      <c r="G247">
        <f t="shared" si="9"/>
        <v>21.75</v>
      </c>
      <c r="H247" t="s">
        <v>20</v>
      </c>
      <c r="I247">
        <v>5</v>
      </c>
      <c r="J247">
        <f t="shared" si="12"/>
        <v>71</v>
      </c>
    </row>
    <row r="248" spans="1:10" x14ac:dyDescent="0.2">
      <c r="A248" s="1">
        <v>45728</v>
      </c>
      <c r="B248">
        <v>0.25</v>
      </c>
      <c r="C248" t="s">
        <v>7</v>
      </c>
      <c r="D248" t="s">
        <v>9</v>
      </c>
      <c r="E248">
        <v>22</v>
      </c>
      <c r="F248">
        <v>0</v>
      </c>
      <c r="G248">
        <f t="shared" si="9"/>
        <v>21.75</v>
      </c>
      <c r="H248" t="s">
        <v>20</v>
      </c>
      <c r="I248">
        <v>5</v>
      </c>
      <c r="J248">
        <f t="shared" si="12"/>
        <v>71</v>
      </c>
    </row>
    <row r="249" spans="1:10" x14ac:dyDescent="0.2">
      <c r="A249" s="1">
        <v>45728</v>
      </c>
      <c r="B249">
        <v>0.25</v>
      </c>
      <c r="C249" t="s">
        <v>7</v>
      </c>
      <c r="D249" t="s">
        <v>9</v>
      </c>
      <c r="E249">
        <v>20</v>
      </c>
      <c r="F249">
        <v>0</v>
      </c>
      <c r="G249">
        <f t="shared" si="9"/>
        <v>19.75</v>
      </c>
      <c r="H249" t="s">
        <v>20</v>
      </c>
      <c r="I249">
        <v>5</v>
      </c>
      <c r="J249">
        <f t="shared" si="12"/>
        <v>71</v>
      </c>
    </row>
    <row r="250" spans="1:10" x14ac:dyDescent="0.2">
      <c r="A250" s="1">
        <v>45728</v>
      </c>
      <c r="B250">
        <v>0.25</v>
      </c>
      <c r="C250" t="s">
        <v>7</v>
      </c>
      <c r="D250" t="s">
        <v>9</v>
      </c>
      <c r="E250">
        <v>21</v>
      </c>
      <c r="F250">
        <v>0</v>
      </c>
      <c r="G250">
        <f t="shared" si="9"/>
        <v>20.75</v>
      </c>
      <c r="H250" t="s">
        <v>20</v>
      </c>
      <c r="I250">
        <v>5</v>
      </c>
      <c r="J250">
        <f t="shared" si="12"/>
        <v>71</v>
      </c>
    </row>
    <row r="251" spans="1:10" x14ac:dyDescent="0.2">
      <c r="A251" s="1">
        <v>45728</v>
      </c>
      <c r="B251">
        <v>0.25</v>
      </c>
      <c r="C251" t="s">
        <v>7</v>
      </c>
      <c r="D251" t="s">
        <v>9</v>
      </c>
      <c r="E251">
        <v>19</v>
      </c>
      <c r="F251">
        <v>0</v>
      </c>
      <c r="G251">
        <f t="shared" si="9"/>
        <v>18.75</v>
      </c>
      <c r="H251" t="s">
        <v>20</v>
      </c>
      <c r="I251">
        <v>5</v>
      </c>
      <c r="J251">
        <f t="shared" si="12"/>
        <v>71</v>
      </c>
    </row>
    <row r="252" spans="1:10" x14ac:dyDescent="0.2">
      <c r="A252" s="1">
        <v>45728</v>
      </c>
      <c r="B252">
        <v>0.25</v>
      </c>
      <c r="C252" t="s">
        <v>17</v>
      </c>
      <c r="D252" t="s">
        <v>8</v>
      </c>
      <c r="E252">
        <v>20</v>
      </c>
      <c r="F252">
        <v>2</v>
      </c>
      <c r="G252">
        <f t="shared" si="9"/>
        <v>19.75</v>
      </c>
      <c r="H252" t="s">
        <v>20</v>
      </c>
      <c r="I252">
        <v>5</v>
      </c>
      <c r="J252">
        <f t="shared" si="12"/>
        <v>71</v>
      </c>
    </row>
    <row r="253" spans="1:10" x14ac:dyDescent="0.2">
      <c r="A253" s="1">
        <v>45728</v>
      </c>
      <c r="B253">
        <v>0.25</v>
      </c>
      <c r="C253" t="s">
        <v>17</v>
      </c>
      <c r="D253" t="s">
        <v>8</v>
      </c>
      <c r="E253">
        <v>21</v>
      </c>
      <c r="F253">
        <v>0</v>
      </c>
      <c r="G253">
        <f t="shared" si="9"/>
        <v>20.75</v>
      </c>
      <c r="H253" t="s">
        <v>20</v>
      </c>
      <c r="I253">
        <v>5</v>
      </c>
      <c r="J253">
        <f t="shared" si="12"/>
        <v>71</v>
      </c>
    </row>
    <row r="254" spans="1:10" x14ac:dyDescent="0.2">
      <c r="A254" s="1">
        <v>45728</v>
      </c>
      <c r="B254">
        <v>0.25</v>
      </c>
      <c r="C254" t="s">
        <v>17</v>
      </c>
      <c r="D254" t="s">
        <v>8</v>
      </c>
      <c r="E254">
        <v>21</v>
      </c>
      <c r="F254">
        <v>0</v>
      </c>
      <c r="G254">
        <f t="shared" si="9"/>
        <v>20.75</v>
      </c>
      <c r="H254" t="s">
        <v>20</v>
      </c>
      <c r="I254">
        <v>5</v>
      </c>
      <c r="J254">
        <f t="shared" si="12"/>
        <v>71</v>
      </c>
    </row>
    <row r="255" spans="1:10" x14ac:dyDescent="0.2">
      <c r="A255" s="1">
        <v>45728</v>
      </c>
      <c r="B255">
        <v>0.25</v>
      </c>
      <c r="C255" t="s">
        <v>17</v>
      </c>
      <c r="D255" t="s">
        <v>8</v>
      </c>
      <c r="E255">
        <v>20</v>
      </c>
      <c r="F255">
        <v>0</v>
      </c>
      <c r="G255">
        <f t="shared" si="9"/>
        <v>19.75</v>
      </c>
      <c r="H255" t="s">
        <v>20</v>
      </c>
      <c r="I255">
        <v>5</v>
      </c>
      <c r="J255">
        <f t="shared" si="12"/>
        <v>71</v>
      </c>
    </row>
    <row r="256" spans="1:10" x14ac:dyDescent="0.2">
      <c r="A256" s="1">
        <v>45728</v>
      </c>
      <c r="B256">
        <v>0.25</v>
      </c>
      <c r="C256" t="s">
        <v>17</v>
      </c>
      <c r="D256" t="s">
        <v>8</v>
      </c>
      <c r="E256">
        <v>20</v>
      </c>
      <c r="F256">
        <v>0</v>
      </c>
      <c r="G256">
        <f t="shared" si="9"/>
        <v>19.75</v>
      </c>
      <c r="H256" t="s">
        <v>20</v>
      </c>
      <c r="I256">
        <v>5</v>
      </c>
      <c r="J256">
        <f t="shared" si="12"/>
        <v>71</v>
      </c>
    </row>
    <row r="257" spans="1:10" x14ac:dyDescent="0.2">
      <c r="A257" s="1">
        <v>45728</v>
      </c>
      <c r="B257">
        <v>0.25</v>
      </c>
      <c r="C257" t="s">
        <v>17</v>
      </c>
      <c r="D257" t="s">
        <v>9</v>
      </c>
      <c r="E257">
        <v>20</v>
      </c>
      <c r="F257">
        <v>0</v>
      </c>
      <c r="G257">
        <f t="shared" si="9"/>
        <v>19.75</v>
      </c>
      <c r="H257" t="s">
        <v>20</v>
      </c>
      <c r="I257">
        <v>5</v>
      </c>
      <c r="J257">
        <f t="shared" si="12"/>
        <v>71</v>
      </c>
    </row>
    <row r="258" spans="1:10" x14ac:dyDescent="0.2">
      <c r="A258" s="1">
        <v>45728</v>
      </c>
      <c r="B258">
        <v>0.25</v>
      </c>
      <c r="C258" t="s">
        <v>17</v>
      </c>
      <c r="D258" t="s">
        <v>9</v>
      </c>
      <c r="E258">
        <v>21</v>
      </c>
      <c r="F258">
        <v>0</v>
      </c>
      <c r="G258">
        <f t="shared" ref="G258:G321" si="13">E258-B258</f>
        <v>20.75</v>
      </c>
      <c r="H258" t="s">
        <v>20</v>
      </c>
      <c r="I258">
        <v>5</v>
      </c>
      <c r="J258">
        <f t="shared" si="12"/>
        <v>71</v>
      </c>
    </row>
    <row r="259" spans="1:10" x14ac:dyDescent="0.2">
      <c r="A259" s="1">
        <v>45728</v>
      </c>
      <c r="B259">
        <v>0.25</v>
      </c>
      <c r="C259" t="s">
        <v>17</v>
      </c>
      <c r="D259" t="s">
        <v>9</v>
      </c>
      <c r="E259">
        <v>21</v>
      </c>
      <c r="F259">
        <v>0</v>
      </c>
      <c r="G259">
        <f t="shared" si="13"/>
        <v>20.75</v>
      </c>
      <c r="H259" t="s">
        <v>20</v>
      </c>
      <c r="I259">
        <v>5</v>
      </c>
      <c r="J259">
        <f t="shared" si="12"/>
        <v>71</v>
      </c>
    </row>
    <row r="260" spans="1:10" x14ac:dyDescent="0.2">
      <c r="A260" s="1">
        <v>45728</v>
      </c>
      <c r="B260">
        <v>0.25</v>
      </c>
      <c r="C260" t="s">
        <v>17</v>
      </c>
      <c r="D260" t="s">
        <v>9</v>
      </c>
      <c r="E260">
        <v>20</v>
      </c>
      <c r="F260">
        <v>0</v>
      </c>
      <c r="G260">
        <f t="shared" si="13"/>
        <v>19.75</v>
      </c>
      <c r="H260" t="s">
        <v>20</v>
      </c>
      <c r="I260">
        <v>5</v>
      </c>
      <c r="J260">
        <f t="shared" si="12"/>
        <v>71</v>
      </c>
    </row>
    <row r="261" spans="1:10" x14ac:dyDescent="0.2">
      <c r="A261" s="1">
        <v>45728</v>
      </c>
      <c r="B261">
        <v>0.25</v>
      </c>
      <c r="C261" t="s">
        <v>17</v>
      </c>
      <c r="D261" t="s">
        <v>9</v>
      </c>
      <c r="E261">
        <v>20</v>
      </c>
      <c r="F261">
        <v>0</v>
      </c>
      <c r="G261">
        <f t="shared" si="13"/>
        <v>19.75</v>
      </c>
      <c r="H261" t="s">
        <v>20</v>
      </c>
      <c r="I261">
        <v>5</v>
      </c>
      <c r="J261">
        <f t="shared" si="12"/>
        <v>71</v>
      </c>
    </row>
    <row r="262" spans="1:10" x14ac:dyDescent="0.2">
      <c r="A262" s="1">
        <v>45742</v>
      </c>
      <c r="B262">
        <v>1.25</v>
      </c>
      <c r="C262" t="s">
        <v>7</v>
      </c>
      <c r="D262" t="s">
        <v>8</v>
      </c>
      <c r="E262">
        <v>21</v>
      </c>
      <c r="F262">
        <v>0</v>
      </c>
      <c r="G262">
        <f t="shared" si="13"/>
        <v>19.75</v>
      </c>
      <c r="H262" t="s">
        <v>20</v>
      </c>
      <c r="I262">
        <v>6</v>
      </c>
      <c r="J262">
        <f t="shared" ref="J262:J281" si="14">31+28+26</f>
        <v>85</v>
      </c>
    </row>
    <row r="263" spans="1:10" x14ac:dyDescent="0.2">
      <c r="A263" s="1">
        <v>45742</v>
      </c>
      <c r="B263">
        <v>1.25</v>
      </c>
      <c r="C263" t="s">
        <v>7</v>
      </c>
      <c r="D263" t="s">
        <v>8</v>
      </c>
      <c r="E263">
        <v>20</v>
      </c>
      <c r="F263">
        <v>0</v>
      </c>
      <c r="G263">
        <f t="shared" si="13"/>
        <v>18.75</v>
      </c>
      <c r="H263" t="s">
        <v>20</v>
      </c>
      <c r="I263">
        <v>6</v>
      </c>
      <c r="J263">
        <f t="shared" si="14"/>
        <v>85</v>
      </c>
    </row>
    <row r="264" spans="1:10" x14ac:dyDescent="0.2">
      <c r="A264" s="1">
        <v>45742</v>
      </c>
      <c r="B264">
        <v>1.25</v>
      </c>
      <c r="C264" t="s">
        <v>7</v>
      </c>
      <c r="D264" t="s">
        <v>8</v>
      </c>
      <c r="E264">
        <v>20</v>
      </c>
      <c r="F264">
        <v>0</v>
      </c>
      <c r="G264">
        <f t="shared" si="13"/>
        <v>18.75</v>
      </c>
      <c r="H264" t="s">
        <v>20</v>
      </c>
      <c r="I264">
        <v>6</v>
      </c>
      <c r="J264">
        <f t="shared" si="14"/>
        <v>85</v>
      </c>
    </row>
    <row r="265" spans="1:10" x14ac:dyDescent="0.2">
      <c r="A265" s="1">
        <v>45742</v>
      </c>
      <c r="B265">
        <v>1.25</v>
      </c>
      <c r="C265" t="s">
        <v>7</v>
      </c>
      <c r="D265" t="s">
        <v>8</v>
      </c>
      <c r="E265">
        <v>21</v>
      </c>
      <c r="F265">
        <v>0</v>
      </c>
      <c r="G265">
        <f t="shared" si="13"/>
        <v>19.75</v>
      </c>
      <c r="H265" t="s">
        <v>20</v>
      </c>
      <c r="I265">
        <v>6</v>
      </c>
      <c r="J265">
        <f t="shared" si="14"/>
        <v>85</v>
      </c>
    </row>
    <row r="266" spans="1:10" x14ac:dyDescent="0.2">
      <c r="A266" s="1">
        <v>45742</v>
      </c>
      <c r="B266">
        <v>1.25</v>
      </c>
      <c r="C266" t="s">
        <v>7</v>
      </c>
      <c r="D266" t="s">
        <v>8</v>
      </c>
      <c r="E266">
        <v>21</v>
      </c>
      <c r="F266">
        <v>0</v>
      </c>
      <c r="G266">
        <f t="shared" si="13"/>
        <v>19.75</v>
      </c>
      <c r="H266" t="s">
        <v>20</v>
      </c>
      <c r="I266">
        <v>6</v>
      </c>
      <c r="J266">
        <f t="shared" si="14"/>
        <v>85</v>
      </c>
    </row>
    <row r="267" spans="1:10" x14ac:dyDescent="0.2">
      <c r="A267" s="1">
        <v>45742</v>
      </c>
      <c r="B267">
        <v>1.25</v>
      </c>
      <c r="C267" t="s">
        <v>7</v>
      </c>
      <c r="D267" t="s">
        <v>8</v>
      </c>
      <c r="E267">
        <v>23</v>
      </c>
      <c r="F267">
        <v>0</v>
      </c>
      <c r="G267">
        <f t="shared" si="13"/>
        <v>21.75</v>
      </c>
      <c r="H267" t="s">
        <v>20</v>
      </c>
      <c r="I267">
        <v>6</v>
      </c>
      <c r="J267">
        <f t="shared" si="14"/>
        <v>85</v>
      </c>
    </row>
    <row r="268" spans="1:10" x14ac:dyDescent="0.2">
      <c r="A268" s="1">
        <v>45742</v>
      </c>
      <c r="B268">
        <v>1.25</v>
      </c>
      <c r="C268" t="s">
        <v>7</v>
      </c>
      <c r="D268" t="s">
        <v>8</v>
      </c>
      <c r="E268">
        <v>21</v>
      </c>
      <c r="F268">
        <v>0</v>
      </c>
      <c r="G268">
        <f t="shared" si="13"/>
        <v>19.75</v>
      </c>
      <c r="H268" t="s">
        <v>20</v>
      </c>
      <c r="I268">
        <v>6</v>
      </c>
      <c r="J268">
        <f t="shared" si="14"/>
        <v>85</v>
      </c>
    </row>
    <row r="269" spans="1:10" x14ac:dyDescent="0.2">
      <c r="A269" s="1">
        <v>45742</v>
      </c>
      <c r="B269">
        <v>1.25</v>
      </c>
      <c r="C269" t="s">
        <v>7</v>
      </c>
      <c r="D269" t="s">
        <v>8</v>
      </c>
      <c r="E269">
        <v>20</v>
      </c>
      <c r="F269">
        <v>0</v>
      </c>
      <c r="G269">
        <f t="shared" si="13"/>
        <v>18.75</v>
      </c>
      <c r="H269" t="s">
        <v>20</v>
      </c>
      <c r="I269">
        <v>6</v>
      </c>
      <c r="J269">
        <f t="shared" si="14"/>
        <v>85</v>
      </c>
    </row>
    <row r="270" spans="1:10" x14ac:dyDescent="0.2">
      <c r="A270" s="1">
        <v>45742</v>
      </c>
      <c r="B270">
        <v>1.25</v>
      </c>
      <c r="C270" t="s">
        <v>7</v>
      </c>
      <c r="D270" t="s">
        <v>8</v>
      </c>
      <c r="E270">
        <v>21</v>
      </c>
      <c r="F270">
        <v>0</v>
      </c>
      <c r="G270">
        <f t="shared" si="13"/>
        <v>19.75</v>
      </c>
      <c r="H270" t="s">
        <v>20</v>
      </c>
      <c r="I270">
        <v>6</v>
      </c>
      <c r="J270">
        <f t="shared" si="14"/>
        <v>85</v>
      </c>
    </row>
    <row r="271" spans="1:10" x14ac:dyDescent="0.2">
      <c r="A271" s="1">
        <v>45742</v>
      </c>
      <c r="B271">
        <v>1.25</v>
      </c>
      <c r="C271" t="s">
        <v>7</v>
      </c>
      <c r="D271" t="s">
        <v>8</v>
      </c>
      <c r="E271">
        <v>20</v>
      </c>
      <c r="F271">
        <v>0</v>
      </c>
      <c r="G271">
        <f t="shared" si="13"/>
        <v>18.75</v>
      </c>
      <c r="H271" t="s">
        <v>20</v>
      </c>
      <c r="I271">
        <v>6</v>
      </c>
      <c r="J271">
        <f t="shared" si="14"/>
        <v>85</v>
      </c>
    </row>
    <row r="272" spans="1:10" x14ac:dyDescent="0.2">
      <c r="A272" s="1">
        <v>45742</v>
      </c>
      <c r="B272">
        <v>1.25</v>
      </c>
      <c r="C272" t="s">
        <v>7</v>
      </c>
      <c r="D272" t="s">
        <v>9</v>
      </c>
      <c r="E272">
        <v>21</v>
      </c>
      <c r="F272">
        <v>0</v>
      </c>
      <c r="G272">
        <f t="shared" si="13"/>
        <v>19.75</v>
      </c>
      <c r="H272" t="s">
        <v>20</v>
      </c>
      <c r="I272">
        <v>6</v>
      </c>
      <c r="J272">
        <f t="shared" si="14"/>
        <v>85</v>
      </c>
    </row>
    <row r="273" spans="1:10" x14ac:dyDescent="0.2">
      <c r="A273" s="1">
        <v>45742</v>
      </c>
      <c r="B273">
        <v>1.25</v>
      </c>
      <c r="C273" t="s">
        <v>7</v>
      </c>
      <c r="D273" t="s">
        <v>9</v>
      </c>
      <c r="E273">
        <v>20</v>
      </c>
      <c r="F273">
        <v>0</v>
      </c>
      <c r="G273">
        <f t="shared" si="13"/>
        <v>18.75</v>
      </c>
      <c r="H273" t="s">
        <v>20</v>
      </c>
      <c r="I273">
        <v>6</v>
      </c>
      <c r="J273">
        <f t="shared" si="14"/>
        <v>85</v>
      </c>
    </row>
    <row r="274" spans="1:10" x14ac:dyDescent="0.2">
      <c r="A274" s="1">
        <v>45742</v>
      </c>
      <c r="B274">
        <v>1.25</v>
      </c>
      <c r="C274" t="s">
        <v>7</v>
      </c>
      <c r="D274" t="s">
        <v>9</v>
      </c>
      <c r="E274">
        <v>20</v>
      </c>
      <c r="F274">
        <v>0</v>
      </c>
      <c r="G274">
        <f t="shared" si="13"/>
        <v>18.75</v>
      </c>
      <c r="H274" t="s">
        <v>20</v>
      </c>
      <c r="I274">
        <v>6</v>
      </c>
      <c r="J274">
        <f t="shared" si="14"/>
        <v>85</v>
      </c>
    </row>
    <row r="275" spans="1:10" x14ac:dyDescent="0.2">
      <c r="A275" s="1">
        <v>45742</v>
      </c>
      <c r="B275">
        <v>1.25</v>
      </c>
      <c r="C275" t="s">
        <v>7</v>
      </c>
      <c r="D275" t="s">
        <v>9</v>
      </c>
      <c r="E275">
        <v>21</v>
      </c>
      <c r="F275">
        <v>0</v>
      </c>
      <c r="G275">
        <f t="shared" si="13"/>
        <v>19.75</v>
      </c>
      <c r="H275" t="s">
        <v>20</v>
      </c>
      <c r="I275">
        <v>6</v>
      </c>
      <c r="J275">
        <f t="shared" si="14"/>
        <v>85</v>
      </c>
    </row>
    <row r="276" spans="1:10" x14ac:dyDescent="0.2">
      <c r="A276" s="1">
        <v>45742</v>
      </c>
      <c r="B276">
        <v>1.25</v>
      </c>
      <c r="C276" t="s">
        <v>7</v>
      </c>
      <c r="D276" t="s">
        <v>9</v>
      </c>
      <c r="E276">
        <v>21</v>
      </c>
      <c r="F276">
        <v>0</v>
      </c>
      <c r="G276">
        <f t="shared" si="13"/>
        <v>19.75</v>
      </c>
      <c r="H276" t="s">
        <v>20</v>
      </c>
      <c r="I276">
        <v>6</v>
      </c>
      <c r="J276">
        <f t="shared" si="14"/>
        <v>85</v>
      </c>
    </row>
    <row r="277" spans="1:10" x14ac:dyDescent="0.2">
      <c r="A277" s="1">
        <v>45742</v>
      </c>
      <c r="B277">
        <v>1.25</v>
      </c>
      <c r="C277" t="s">
        <v>7</v>
      </c>
      <c r="D277" t="s">
        <v>9</v>
      </c>
      <c r="E277">
        <v>23</v>
      </c>
      <c r="F277">
        <v>0</v>
      </c>
      <c r="G277">
        <f t="shared" si="13"/>
        <v>21.75</v>
      </c>
      <c r="H277" t="s">
        <v>20</v>
      </c>
      <c r="I277">
        <v>6</v>
      </c>
      <c r="J277">
        <f t="shared" si="14"/>
        <v>85</v>
      </c>
    </row>
    <row r="278" spans="1:10" x14ac:dyDescent="0.2">
      <c r="A278" s="1">
        <v>45742</v>
      </c>
      <c r="B278">
        <v>1.25</v>
      </c>
      <c r="C278" t="s">
        <v>7</v>
      </c>
      <c r="D278" t="s">
        <v>9</v>
      </c>
      <c r="E278">
        <v>21</v>
      </c>
      <c r="F278">
        <v>0</v>
      </c>
      <c r="G278">
        <f t="shared" si="13"/>
        <v>19.75</v>
      </c>
      <c r="H278" t="s">
        <v>20</v>
      </c>
      <c r="I278">
        <v>6</v>
      </c>
      <c r="J278">
        <f t="shared" si="14"/>
        <v>85</v>
      </c>
    </row>
    <row r="279" spans="1:10" x14ac:dyDescent="0.2">
      <c r="A279" s="1">
        <v>45742</v>
      </c>
      <c r="B279">
        <v>1.25</v>
      </c>
      <c r="C279" t="s">
        <v>7</v>
      </c>
      <c r="D279" t="s">
        <v>9</v>
      </c>
      <c r="E279">
        <v>20</v>
      </c>
      <c r="F279">
        <v>0</v>
      </c>
      <c r="G279">
        <f t="shared" si="13"/>
        <v>18.75</v>
      </c>
      <c r="H279" t="s">
        <v>20</v>
      </c>
      <c r="I279">
        <v>6</v>
      </c>
      <c r="J279">
        <f t="shared" si="14"/>
        <v>85</v>
      </c>
    </row>
    <row r="280" spans="1:10" x14ac:dyDescent="0.2">
      <c r="A280" s="1">
        <v>45742</v>
      </c>
      <c r="B280">
        <v>1.25</v>
      </c>
      <c r="C280" t="s">
        <v>7</v>
      </c>
      <c r="D280" t="s">
        <v>9</v>
      </c>
      <c r="E280">
        <v>21</v>
      </c>
      <c r="F280">
        <v>0</v>
      </c>
      <c r="G280">
        <f t="shared" si="13"/>
        <v>19.75</v>
      </c>
      <c r="H280" t="s">
        <v>20</v>
      </c>
      <c r="I280">
        <v>6</v>
      </c>
      <c r="J280">
        <f t="shared" si="14"/>
        <v>85</v>
      </c>
    </row>
    <row r="281" spans="1:10" x14ac:dyDescent="0.2">
      <c r="A281" s="1">
        <v>45742</v>
      </c>
      <c r="B281">
        <v>1.25</v>
      </c>
      <c r="C281" t="s">
        <v>7</v>
      </c>
      <c r="D281" t="s">
        <v>9</v>
      </c>
      <c r="E281">
        <v>20</v>
      </c>
      <c r="F281">
        <v>0</v>
      </c>
      <c r="G281">
        <f t="shared" si="13"/>
        <v>18.75</v>
      </c>
      <c r="H281" t="s">
        <v>20</v>
      </c>
      <c r="I281">
        <v>6</v>
      </c>
      <c r="J281">
        <f t="shared" si="14"/>
        <v>85</v>
      </c>
    </row>
    <row r="282" spans="1:10" x14ac:dyDescent="0.2">
      <c r="A282" s="1">
        <v>45757</v>
      </c>
      <c r="B282">
        <v>1</v>
      </c>
      <c r="C282" t="s">
        <v>17</v>
      </c>
      <c r="D282" t="s">
        <v>8</v>
      </c>
      <c r="E282">
        <v>20</v>
      </c>
      <c r="F282">
        <v>0</v>
      </c>
      <c r="G282">
        <f t="shared" si="13"/>
        <v>19</v>
      </c>
      <c r="H282" t="s">
        <v>20</v>
      </c>
      <c r="I282">
        <v>7</v>
      </c>
      <c r="J282">
        <f t="shared" ref="J282:J301" si="15">31+28+31+10</f>
        <v>100</v>
      </c>
    </row>
    <row r="283" spans="1:10" x14ac:dyDescent="0.2">
      <c r="A283" s="1">
        <v>45757</v>
      </c>
      <c r="B283">
        <v>1</v>
      </c>
      <c r="C283" t="s">
        <v>17</v>
      </c>
      <c r="D283" t="s">
        <v>8</v>
      </c>
      <c r="E283">
        <v>20</v>
      </c>
      <c r="F283">
        <v>0</v>
      </c>
      <c r="G283">
        <f t="shared" si="13"/>
        <v>19</v>
      </c>
      <c r="H283" t="s">
        <v>20</v>
      </c>
      <c r="I283">
        <v>7</v>
      </c>
      <c r="J283">
        <f t="shared" si="15"/>
        <v>100</v>
      </c>
    </row>
    <row r="284" spans="1:10" x14ac:dyDescent="0.2">
      <c r="A284" s="1">
        <v>45757</v>
      </c>
      <c r="B284">
        <v>1</v>
      </c>
      <c r="C284" t="s">
        <v>17</v>
      </c>
      <c r="D284" t="s">
        <v>8</v>
      </c>
      <c r="E284">
        <v>19</v>
      </c>
      <c r="F284">
        <v>0</v>
      </c>
      <c r="G284">
        <f t="shared" si="13"/>
        <v>18</v>
      </c>
      <c r="H284" t="s">
        <v>20</v>
      </c>
      <c r="I284">
        <v>7</v>
      </c>
      <c r="J284">
        <f t="shared" si="15"/>
        <v>100</v>
      </c>
    </row>
    <row r="285" spans="1:10" x14ac:dyDescent="0.2">
      <c r="A285" s="1">
        <v>45757</v>
      </c>
      <c r="B285">
        <v>1</v>
      </c>
      <c r="C285" t="s">
        <v>17</v>
      </c>
      <c r="D285" t="s">
        <v>8</v>
      </c>
      <c r="E285">
        <v>20</v>
      </c>
      <c r="F285">
        <v>0</v>
      </c>
      <c r="G285">
        <f t="shared" si="13"/>
        <v>19</v>
      </c>
      <c r="H285" t="s">
        <v>20</v>
      </c>
      <c r="I285">
        <v>7</v>
      </c>
      <c r="J285">
        <f t="shared" si="15"/>
        <v>100</v>
      </c>
    </row>
    <row r="286" spans="1:10" x14ac:dyDescent="0.2">
      <c r="A286" s="1">
        <v>45757</v>
      </c>
      <c r="B286">
        <v>1</v>
      </c>
      <c r="C286" t="s">
        <v>17</v>
      </c>
      <c r="D286" t="s">
        <v>8</v>
      </c>
      <c r="E286">
        <v>19</v>
      </c>
      <c r="F286">
        <v>0</v>
      </c>
      <c r="G286">
        <f t="shared" si="13"/>
        <v>18</v>
      </c>
      <c r="H286" t="s">
        <v>20</v>
      </c>
      <c r="I286">
        <v>7</v>
      </c>
      <c r="J286">
        <f t="shared" si="15"/>
        <v>100</v>
      </c>
    </row>
    <row r="287" spans="1:10" x14ac:dyDescent="0.2">
      <c r="A287" s="1">
        <v>45757</v>
      </c>
      <c r="B287">
        <v>1</v>
      </c>
      <c r="C287" t="s">
        <v>53</v>
      </c>
      <c r="D287" t="s">
        <v>9</v>
      </c>
      <c r="E287">
        <v>21</v>
      </c>
      <c r="F287">
        <v>0</v>
      </c>
      <c r="G287">
        <f t="shared" si="13"/>
        <v>20</v>
      </c>
      <c r="H287" t="s">
        <v>20</v>
      </c>
      <c r="I287">
        <v>7</v>
      </c>
      <c r="J287">
        <f t="shared" si="15"/>
        <v>100</v>
      </c>
    </row>
    <row r="288" spans="1:10" x14ac:dyDescent="0.2">
      <c r="A288" s="1">
        <v>45757</v>
      </c>
      <c r="B288">
        <v>1</v>
      </c>
      <c r="C288" t="s">
        <v>17</v>
      </c>
      <c r="D288" t="s">
        <v>9</v>
      </c>
      <c r="E288">
        <v>19</v>
      </c>
      <c r="F288">
        <v>0</v>
      </c>
      <c r="G288">
        <f t="shared" si="13"/>
        <v>18</v>
      </c>
      <c r="H288" t="s">
        <v>20</v>
      </c>
      <c r="I288">
        <v>7</v>
      </c>
      <c r="J288">
        <f t="shared" si="15"/>
        <v>100</v>
      </c>
    </row>
    <row r="289" spans="1:10" x14ac:dyDescent="0.2">
      <c r="A289" s="1">
        <v>45757</v>
      </c>
      <c r="B289">
        <v>1</v>
      </c>
      <c r="C289" t="s">
        <v>17</v>
      </c>
      <c r="D289" t="s">
        <v>9</v>
      </c>
      <c r="E289">
        <v>20</v>
      </c>
      <c r="F289">
        <v>0</v>
      </c>
      <c r="G289">
        <f t="shared" si="13"/>
        <v>19</v>
      </c>
      <c r="H289" t="s">
        <v>20</v>
      </c>
      <c r="I289">
        <v>7</v>
      </c>
      <c r="J289">
        <f t="shared" si="15"/>
        <v>100</v>
      </c>
    </row>
    <row r="290" spans="1:10" x14ac:dyDescent="0.2">
      <c r="A290" s="1">
        <v>45757</v>
      </c>
      <c r="B290">
        <v>1</v>
      </c>
      <c r="C290" t="s">
        <v>17</v>
      </c>
      <c r="D290" t="s">
        <v>9</v>
      </c>
      <c r="E290">
        <v>20</v>
      </c>
      <c r="F290">
        <v>0</v>
      </c>
      <c r="G290">
        <f t="shared" si="13"/>
        <v>19</v>
      </c>
      <c r="H290" t="s">
        <v>20</v>
      </c>
      <c r="I290">
        <v>7</v>
      </c>
      <c r="J290">
        <f t="shared" si="15"/>
        <v>100</v>
      </c>
    </row>
    <row r="291" spans="1:10" x14ac:dyDescent="0.2">
      <c r="A291" s="1">
        <v>45757</v>
      </c>
      <c r="B291">
        <v>1</v>
      </c>
      <c r="C291" t="s">
        <v>17</v>
      </c>
      <c r="D291" t="s">
        <v>9</v>
      </c>
      <c r="E291">
        <v>20</v>
      </c>
      <c r="F291">
        <v>0</v>
      </c>
      <c r="G291">
        <f t="shared" si="13"/>
        <v>19</v>
      </c>
      <c r="H291" t="s">
        <v>20</v>
      </c>
      <c r="I291">
        <v>7</v>
      </c>
      <c r="J291">
        <f t="shared" si="15"/>
        <v>100</v>
      </c>
    </row>
    <row r="292" spans="1:10" x14ac:dyDescent="0.2">
      <c r="A292" s="1">
        <v>45757</v>
      </c>
      <c r="B292">
        <v>1</v>
      </c>
      <c r="C292" t="s">
        <v>7</v>
      </c>
      <c r="D292" t="s">
        <v>8</v>
      </c>
      <c r="E292">
        <v>22</v>
      </c>
      <c r="F292">
        <v>0</v>
      </c>
      <c r="G292">
        <f t="shared" si="13"/>
        <v>21</v>
      </c>
      <c r="H292" t="s">
        <v>20</v>
      </c>
      <c r="I292">
        <v>7</v>
      </c>
      <c r="J292">
        <f t="shared" si="15"/>
        <v>100</v>
      </c>
    </row>
    <row r="293" spans="1:10" x14ac:dyDescent="0.2">
      <c r="A293" s="1">
        <v>45757</v>
      </c>
      <c r="B293">
        <v>1</v>
      </c>
      <c r="C293" t="s">
        <v>7</v>
      </c>
      <c r="D293" t="s">
        <v>8</v>
      </c>
      <c r="E293">
        <v>20</v>
      </c>
      <c r="F293">
        <v>0</v>
      </c>
      <c r="G293">
        <f t="shared" si="13"/>
        <v>19</v>
      </c>
      <c r="H293" t="s">
        <v>20</v>
      </c>
      <c r="I293">
        <v>7</v>
      </c>
      <c r="J293">
        <f t="shared" si="15"/>
        <v>100</v>
      </c>
    </row>
    <row r="294" spans="1:10" x14ac:dyDescent="0.2">
      <c r="A294" s="1">
        <v>45757</v>
      </c>
      <c r="B294">
        <v>1</v>
      </c>
      <c r="C294" t="s">
        <v>7</v>
      </c>
      <c r="D294" t="s">
        <v>8</v>
      </c>
      <c r="E294">
        <v>19</v>
      </c>
      <c r="F294">
        <v>0</v>
      </c>
      <c r="G294">
        <f t="shared" si="13"/>
        <v>18</v>
      </c>
      <c r="H294" t="s">
        <v>20</v>
      </c>
      <c r="I294">
        <v>7</v>
      </c>
      <c r="J294">
        <f t="shared" si="15"/>
        <v>100</v>
      </c>
    </row>
    <row r="295" spans="1:10" x14ac:dyDescent="0.2">
      <c r="A295" s="1">
        <v>45757</v>
      </c>
      <c r="B295">
        <v>1</v>
      </c>
      <c r="C295" t="s">
        <v>7</v>
      </c>
      <c r="D295" t="s">
        <v>8</v>
      </c>
      <c r="E295">
        <v>21</v>
      </c>
      <c r="F295">
        <v>0</v>
      </c>
      <c r="G295">
        <f t="shared" si="13"/>
        <v>20</v>
      </c>
      <c r="H295" t="s">
        <v>20</v>
      </c>
      <c r="I295">
        <v>7</v>
      </c>
      <c r="J295">
        <f t="shared" si="15"/>
        <v>100</v>
      </c>
    </row>
    <row r="296" spans="1:10" x14ac:dyDescent="0.2">
      <c r="A296" s="1">
        <v>45757</v>
      </c>
      <c r="B296">
        <v>1</v>
      </c>
      <c r="C296" t="s">
        <v>7</v>
      </c>
      <c r="D296" t="s">
        <v>8</v>
      </c>
      <c r="E296">
        <v>22</v>
      </c>
      <c r="F296">
        <v>0</v>
      </c>
      <c r="G296">
        <f t="shared" si="13"/>
        <v>21</v>
      </c>
      <c r="H296" t="s">
        <v>20</v>
      </c>
      <c r="I296">
        <v>7</v>
      </c>
      <c r="J296">
        <f t="shared" si="15"/>
        <v>100</v>
      </c>
    </row>
    <row r="297" spans="1:10" x14ac:dyDescent="0.2">
      <c r="A297" s="1">
        <v>45757</v>
      </c>
      <c r="B297">
        <v>1</v>
      </c>
      <c r="C297" t="s">
        <v>7</v>
      </c>
      <c r="D297" t="s">
        <v>9</v>
      </c>
      <c r="E297">
        <v>22</v>
      </c>
      <c r="F297">
        <v>0</v>
      </c>
      <c r="G297">
        <f t="shared" si="13"/>
        <v>21</v>
      </c>
      <c r="H297" t="s">
        <v>20</v>
      </c>
      <c r="I297">
        <v>7</v>
      </c>
      <c r="J297">
        <f t="shared" si="15"/>
        <v>100</v>
      </c>
    </row>
    <row r="298" spans="1:10" x14ac:dyDescent="0.2">
      <c r="A298" s="1">
        <v>45757</v>
      </c>
      <c r="B298">
        <v>1</v>
      </c>
      <c r="C298" t="s">
        <v>7</v>
      </c>
      <c r="D298" t="s">
        <v>9</v>
      </c>
      <c r="E298">
        <v>20</v>
      </c>
      <c r="F298">
        <v>0</v>
      </c>
      <c r="G298">
        <f t="shared" si="13"/>
        <v>19</v>
      </c>
      <c r="H298" t="s">
        <v>20</v>
      </c>
      <c r="I298">
        <v>7</v>
      </c>
      <c r="J298">
        <f t="shared" si="15"/>
        <v>100</v>
      </c>
    </row>
    <row r="299" spans="1:10" x14ac:dyDescent="0.2">
      <c r="A299" s="1">
        <v>45757</v>
      </c>
      <c r="B299">
        <v>1</v>
      </c>
      <c r="C299" t="s">
        <v>7</v>
      </c>
      <c r="D299" t="s">
        <v>9</v>
      </c>
      <c r="E299">
        <v>19</v>
      </c>
      <c r="F299">
        <v>0</v>
      </c>
      <c r="G299">
        <f t="shared" si="13"/>
        <v>18</v>
      </c>
      <c r="H299" t="s">
        <v>20</v>
      </c>
      <c r="I299">
        <v>7</v>
      </c>
      <c r="J299">
        <f t="shared" si="15"/>
        <v>100</v>
      </c>
    </row>
    <row r="300" spans="1:10" x14ac:dyDescent="0.2">
      <c r="A300" s="1">
        <v>45757</v>
      </c>
      <c r="B300">
        <v>1</v>
      </c>
      <c r="C300" t="s">
        <v>7</v>
      </c>
      <c r="D300" t="s">
        <v>9</v>
      </c>
      <c r="E300">
        <v>21</v>
      </c>
      <c r="F300">
        <v>0</v>
      </c>
      <c r="G300">
        <f t="shared" si="13"/>
        <v>20</v>
      </c>
      <c r="H300" t="s">
        <v>20</v>
      </c>
      <c r="I300">
        <v>7</v>
      </c>
      <c r="J300">
        <f t="shared" si="15"/>
        <v>100</v>
      </c>
    </row>
    <row r="301" spans="1:10" x14ac:dyDescent="0.2">
      <c r="A301" s="1">
        <v>45757</v>
      </c>
      <c r="B301">
        <v>1</v>
      </c>
      <c r="C301" t="s">
        <v>7</v>
      </c>
      <c r="D301" t="s">
        <v>9</v>
      </c>
      <c r="E301">
        <v>22</v>
      </c>
      <c r="F301">
        <v>0</v>
      </c>
      <c r="G301">
        <f t="shared" si="13"/>
        <v>21</v>
      </c>
      <c r="H301" t="s">
        <v>20</v>
      </c>
      <c r="I301">
        <v>7</v>
      </c>
      <c r="J301">
        <f t="shared" si="15"/>
        <v>100</v>
      </c>
    </row>
    <row r="302" spans="1:10" x14ac:dyDescent="0.2">
      <c r="A302" s="1">
        <v>45772</v>
      </c>
      <c r="B302">
        <v>1.5</v>
      </c>
      <c r="C302" t="s">
        <v>17</v>
      </c>
      <c r="D302" t="s">
        <v>8</v>
      </c>
      <c r="E302">
        <v>20</v>
      </c>
      <c r="F302">
        <v>0</v>
      </c>
      <c r="G302">
        <f t="shared" si="13"/>
        <v>18.5</v>
      </c>
      <c r="H302" t="s">
        <v>20</v>
      </c>
      <c r="I302">
        <v>8</v>
      </c>
      <c r="J302">
        <f t="shared" ref="J302:J321" si="16">31+28+31+26</f>
        <v>116</v>
      </c>
    </row>
    <row r="303" spans="1:10" x14ac:dyDescent="0.2">
      <c r="A303" s="1">
        <v>45772</v>
      </c>
      <c r="B303">
        <v>1.5</v>
      </c>
      <c r="C303" t="s">
        <v>17</v>
      </c>
      <c r="D303" t="s">
        <v>8</v>
      </c>
      <c r="E303">
        <v>20</v>
      </c>
      <c r="F303">
        <v>0</v>
      </c>
      <c r="G303">
        <f t="shared" si="13"/>
        <v>18.5</v>
      </c>
      <c r="H303" t="s">
        <v>20</v>
      </c>
      <c r="I303">
        <v>8</v>
      </c>
      <c r="J303">
        <f t="shared" si="16"/>
        <v>116</v>
      </c>
    </row>
    <row r="304" spans="1:10" x14ac:dyDescent="0.2">
      <c r="A304" s="1">
        <v>45772</v>
      </c>
      <c r="B304">
        <v>1.5</v>
      </c>
      <c r="C304" t="s">
        <v>17</v>
      </c>
      <c r="D304" t="s">
        <v>8</v>
      </c>
      <c r="E304">
        <v>20</v>
      </c>
      <c r="F304">
        <v>0</v>
      </c>
      <c r="G304">
        <f t="shared" si="13"/>
        <v>18.5</v>
      </c>
      <c r="H304" t="s">
        <v>20</v>
      </c>
      <c r="I304">
        <v>8</v>
      </c>
      <c r="J304">
        <f t="shared" si="16"/>
        <v>116</v>
      </c>
    </row>
    <row r="305" spans="1:10" x14ac:dyDescent="0.2">
      <c r="A305" s="1">
        <v>45772</v>
      </c>
      <c r="B305">
        <v>1.5</v>
      </c>
      <c r="C305" t="s">
        <v>17</v>
      </c>
      <c r="D305" t="s">
        <v>8</v>
      </c>
      <c r="E305">
        <v>20</v>
      </c>
      <c r="F305">
        <v>0</v>
      </c>
      <c r="G305">
        <f t="shared" si="13"/>
        <v>18.5</v>
      </c>
      <c r="H305" t="s">
        <v>20</v>
      </c>
      <c r="I305">
        <v>8</v>
      </c>
      <c r="J305">
        <f t="shared" si="16"/>
        <v>116</v>
      </c>
    </row>
    <row r="306" spans="1:10" x14ac:dyDescent="0.2">
      <c r="A306" s="1">
        <v>45772</v>
      </c>
      <c r="B306">
        <v>1.5</v>
      </c>
      <c r="C306" t="s">
        <v>17</v>
      </c>
      <c r="D306" t="s">
        <v>8</v>
      </c>
      <c r="E306">
        <v>20</v>
      </c>
      <c r="F306">
        <v>0</v>
      </c>
      <c r="G306">
        <f t="shared" si="13"/>
        <v>18.5</v>
      </c>
      <c r="H306" t="s">
        <v>20</v>
      </c>
      <c r="I306">
        <v>8</v>
      </c>
      <c r="J306">
        <f t="shared" si="16"/>
        <v>116</v>
      </c>
    </row>
    <row r="307" spans="1:10" x14ac:dyDescent="0.2">
      <c r="A307" s="1">
        <v>45772</v>
      </c>
      <c r="B307">
        <v>1.5</v>
      </c>
      <c r="C307" t="s">
        <v>17</v>
      </c>
      <c r="D307" t="s">
        <v>9</v>
      </c>
      <c r="E307">
        <v>21</v>
      </c>
      <c r="F307">
        <v>0</v>
      </c>
      <c r="G307">
        <f t="shared" si="13"/>
        <v>19.5</v>
      </c>
      <c r="H307" t="s">
        <v>20</v>
      </c>
      <c r="I307">
        <v>8</v>
      </c>
      <c r="J307">
        <f t="shared" si="16"/>
        <v>116</v>
      </c>
    </row>
    <row r="308" spans="1:10" x14ac:dyDescent="0.2">
      <c r="A308" s="1">
        <v>45772</v>
      </c>
      <c r="B308">
        <v>1.5</v>
      </c>
      <c r="C308" t="s">
        <v>17</v>
      </c>
      <c r="D308" t="s">
        <v>9</v>
      </c>
      <c r="E308">
        <v>20</v>
      </c>
      <c r="F308">
        <v>0</v>
      </c>
      <c r="G308">
        <f t="shared" si="13"/>
        <v>18.5</v>
      </c>
      <c r="H308" t="s">
        <v>20</v>
      </c>
      <c r="I308">
        <v>8</v>
      </c>
      <c r="J308">
        <f t="shared" si="16"/>
        <v>116</v>
      </c>
    </row>
    <row r="309" spans="1:10" x14ac:dyDescent="0.2">
      <c r="A309" s="1">
        <v>45772</v>
      </c>
      <c r="B309">
        <v>1.5</v>
      </c>
      <c r="C309" t="s">
        <v>17</v>
      </c>
      <c r="D309" t="s">
        <v>9</v>
      </c>
      <c r="E309">
        <v>20</v>
      </c>
      <c r="F309">
        <v>0</v>
      </c>
      <c r="G309">
        <f t="shared" si="13"/>
        <v>18.5</v>
      </c>
      <c r="H309" t="s">
        <v>20</v>
      </c>
      <c r="I309">
        <v>8</v>
      </c>
      <c r="J309">
        <f t="shared" si="16"/>
        <v>116</v>
      </c>
    </row>
    <row r="310" spans="1:10" x14ac:dyDescent="0.2">
      <c r="A310" s="1">
        <v>45772</v>
      </c>
      <c r="B310">
        <v>1.5</v>
      </c>
      <c r="C310" t="s">
        <v>17</v>
      </c>
      <c r="D310" t="s">
        <v>9</v>
      </c>
      <c r="E310">
        <v>19</v>
      </c>
      <c r="F310">
        <v>0</v>
      </c>
      <c r="G310">
        <f t="shared" si="13"/>
        <v>17.5</v>
      </c>
      <c r="H310" t="s">
        <v>20</v>
      </c>
      <c r="I310">
        <v>8</v>
      </c>
      <c r="J310">
        <f t="shared" si="16"/>
        <v>116</v>
      </c>
    </row>
    <row r="311" spans="1:10" x14ac:dyDescent="0.2">
      <c r="A311" s="1">
        <v>45772</v>
      </c>
      <c r="B311">
        <v>1.5</v>
      </c>
      <c r="C311" t="s">
        <v>17</v>
      </c>
      <c r="D311" t="s">
        <v>9</v>
      </c>
      <c r="E311">
        <v>20</v>
      </c>
      <c r="F311">
        <v>0</v>
      </c>
      <c r="G311">
        <f t="shared" si="13"/>
        <v>18.5</v>
      </c>
      <c r="H311" t="s">
        <v>20</v>
      </c>
      <c r="I311">
        <v>8</v>
      </c>
      <c r="J311">
        <f t="shared" si="16"/>
        <v>116</v>
      </c>
    </row>
    <row r="312" spans="1:10" x14ac:dyDescent="0.2">
      <c r="A312" s="1">
        <v>45772</v>
      </c>
      <c r="B312">
        <v>1.5</v>
      </c>
      <c r="C312" t="s">
        <v>7</v>
      </c>
      <c r="D312" t="s">
        <v>8</v>
      </c>
      <c r="E312">
        <v>21</v>
      </c>
      <c r="F312">
        <v>0</v>
      </c>
      <c r="G312">
        <f t="shared" si="13"/>
        <v>19.5</v>
      </c>
      <c r="H312" t="s">
        <v>20</v>
      </c>
      <c r="I312">
        <v>8</v>
      </c>
      <c r="J312">
        <f t="shared" si="16"/>
        <v>116</v>
      </c>
    </row>
    <row r="313" spans="1:10" x14ac:dyDescent="0.2">
      <c r="A313" s="1">
        <v>45772</v>
      </c>
      <c r="B313">
        <v>1.5</v>
      </c>
      <c r="C313" t="s">
        <v>7</v>
      </c>
      <c r="D313" t="s">
        <v>8</v>
      </c>
      <c r="E313">
        <v>20</v>
      </c>
      <c r="F313">
        <v>0</v>
      </c>
      <c r="G313">
        <f t="shared" si="13"/>
        <v>18.5</v>
      </c>
      <c r="H313" t="s">
        <v>20</v>
      </c>
      <c r="I313">
        <v>8</v>
      </c>
      <c r="J313">
        <f t="shared" si="16"/>
        <v>116</v>
      </c>
    </row>
    <row r="314" spans="1:10" x14ac:dyDescent="0.2">
      <c r="A314" s="1">
        <v>45772</v>
      </c>
      <c r="B314">
        <v>1.5</v>
      </c>
      <c r="C314" t="s">
        <v>7</v>
      </c>
      <c r="D314" t="s">
        <v>8</v>
      </c>
      <c r="E314">
        <v>19</v>
      </c>
      <c r="F314">
        <v>0</v>
      </c>
      <c r="G314">
        <f t="shared" si="13"/>
        <v>17.5</v>
      </c>
      <c r="H314" t="s">
        <v>20</v>
      </c>
      <c r="I314">
        <v>8</v>
      </c>
      <c r="J314">
        <f t="shared" si="16"/>
        <v>116</v>
      </c>
    </row>
    <row r="315" spans="1:10" x14ac:dyDescent="0.2">
      <c r="A315" s="1">
        <v>45772</v>
      </c>
      <c r="B315">
        <v>1.5</v>
      </c>
      <c r="C315" t="s">
        <v>7</v>
      </c>
      <c r="D315" t="s">
        <v>8</v>
      </c>
      <c r="E315">
        <v>22</v>
      </c>
      <c r="F315">
        <v>0</v>
      </c>
      <c r="G315">
        <f t="shared" si="13"/>
        <v>20.5</v>
      </c>
      <c r="H315" t="s">
        <v>20</v>
      </c>
      <c r="I315">
        <v>8</v>
      </c>
      <c r="J315">
        <f t="shared" si="16"/>
        <v>116</v>
      </c>
    </row>
    <row r="316" spans="1:10" x14ac:dyDescent="0.2">
      <c r="A316" s="1">
        <v>45772</v>
      </c>
      <c r="B316">
        <v>1.5</v>
      </c>
      <c r="C316" t="s">
        <v>7</v>
      </c>
      <c r="D316" t="s">
        <v>8</v>
      </c>
      <c r="E316">
        <v>24</v>
      </c>
      <c r="F316">
        <v>0</v>
      </c>
      <c r="G316">
        <f t="shared" si="13"/>
        <v>22.5</v>
      </c>
      <c r="H316" t="s">
        <v>20</v>
      </c>
      <c r="I316">
        <v>8</v>
      </c>
      <c r="J316">
        <f t="shared" si="16"/>
        <v>116</v>
      </c>
    </row>
    <row r="317" spans="1:10" x14ac:dyDescent="0.2">
      <c r="A317" s="1">
        <v>45772</v>
      </c>
      <c r="B317">
        <v>1.5</v>
      </c>
      <c r="C317" t="s">
        <v>7</v>
      </c>
      <c r="D317" t="s">
        <v>9</v>
      </c>
      <c r="E317">
        <v>21</v>
      </c>
      <c r="F317">
        <v>0</v>
      </c>
      <c r="G317">
        <f t="shared" si="13"/>
        <v>19.5</v>
      </c>
      <c r="H317" t="s">
        <v>20</v>
      </c>
      <c r="I317">
        <v>8</v>
      </c>
      <c r="J317">
        <f t="shared" si="16"/>
        <v>116</v>
      </c>
    </row>
    <row r="318" spans="1:10" x14ac:dyDescent="0.2">
      <c r="A318" s="1">
        <v>45772</v>
      </c>
      <c r="B318">
        <v>1.5</v>
      </c>
      <c r="C318" t="s">
        <v>7</v>
      </c>
      <c r="D318" t="s">
        <v>9</v>
      </c>
      <c r="E318">
        <v>20</v>
      </c>
      <c r="F318">
        <v>0</v>
      </c>
      <c r="G318">
        <f t="shared" si="13"/>
        <v>18.5</v>
      </c>
      <c r="H318" t="s">
        <v>20</v>
      </c>
      <c r="I318">
        <v>8</v>
      </c>
      <c r="J318">
        <f t="shared" si="16"/>
        <v>116</v>
      </c>
    </row>
    <row r="319" spans="1:10" x14ac:dyDescent="0.2">
      <c r="A319" s="1">
        <v>45772</v>
      </c>
      <c r="B319">
        <v>1.5</v>
      </c>
      <c r="C319" t="s">
        <v>7</v>
      </c>
      <c r="D319" t="s">
        <v>9</v>
      </c>
      <c r="E319">
        <v>19</v>
      </c>
      <c r="F319">
        <v>0</v>
      </c>
      <c r="G319">
        <f t="shared" si="13"/>
        <v>17.5</v>
      </c>
      <c r="H319" t="s">
        <v>20</v>
      </c>
      <c r="I319">
        <v>8</v>
      </c>
      <c r="J319">
        <f t="shared" si="16"/>
        <v>116</v>
      </c>
    </row>
    <row r="320" spans="1:10" x14ac:dyDescent="0.2">
      <c r="A320" s="1">
        <v>45772</v>
      </c>
      <c r="B320">
        <v>1.5</v>
      </c>
      <c r="C320" t="s">
        <v>7</v>
      </c>
      <c r="D320" t="s">
        <v>9</v>
      </c>
      <c r="E320">
        <v>22</v>
      </c>
      <c r="F320">
        <v>0</v>
      </c>
      <c r="G320">
        <f t="shared" si="13"/>
        <v>20.5</v>
      </c>
      <c r="H320" t="s">
        <v>20</v>
      </c>
      <c r="I320">
        <v>8</v>
      </c>
      <c r="J320">
        <f t="shared" si="16"/>
        <v>116</v>
      </c>
    </row>
    <row r="321" spans="1:10" x14ac:dyDescent="0.2">
      <c r="A321" s="1">
        <v>45772</v>
      </c>
      <c r="B321">
        <v>1.5</v>
      </c>
      <c r="C321" t="s">
        <v>7</v>
      </c>
      <c r="D321" t="s">
        <v>9</v>
      </c>
      <c r="E321">
        <v>24</v>
      </c>
      <c r="F321">
        <v>0</v>
      </c>
      <c r="G321">
        <f t="shared" si="13"/>
        <v>22.5</v>
      </c>
      <c r="H321" t="s">
        <v>20</v>
      </c>
      <c r="I321">
        <v>8</v>
      </c>
      <c r="J321">
        <f t="shared" si="16"/>
        <v>116</v>
      </c>
    </row>
  </sheetData>
  <sortState xmlns:xlrd2="http://schemas.microsoft.com/office/spreadsheetml/2017/richdata2" ref="A2:J321">
    <sortCondition ref="H307:H32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5656D-166A-7F44-A882-7959A62A7E5E}">
  <dimension ref="A1:G11"/>
  <sheetViews>
    <sheetView workbookViewId="0">
      <selection activeCell="A11" sqref="A11"/>
    </sheetView>
  </sheetViews>
  <sheetFormatPr baseColWidth="10" defaultRowHeight="16" x14ac:dyDescent="0.2"/>
  <cols>
    <col min="1" max="1" width="7.5" bestFit="1" customWidth="1"/>
    <col min="2" max="2" width="13.6640625" bestFit="1" customWidth="1"/>
    <col min="3" max="3" width="14" bestFit="1" customWidth="1"/>
    <col min="4" max="4" width="13.6640625" bestFit="1" customWidth="1"/>
    <col min="5" max="5" width="33" bestFit="1" customWidth="1"/>
    <col min="6" max="6" width="45.6640625" bestFit="1" customWidth="1"/>
    <col min="7" max="7" width="76" bestFit="1" customWidth="1"/>
  </cols>
  <sheetData>
    <row r="1" spans="1:7" x14ac:dyDescent="0.2">
      <c r="A1" t="s">
        <v>14</v>
      </c>
      <c r="B1" t="s">
        <v>21</v>
      </c>
      <c r="C1" t="s">
        <v>10</v>
      </c>
      <c r="D1" t="s">
        <v>11</v>
      </c>
      <c r="E1" t="s">
        <v>12</v>
      </c>
      <c r="F1" t="s">
        <v>13</v>
      </c>
      <c r="G1" t="s">
        <v>27</v>
      </c>
    </row>
    <row r="2" spans="1:7" x14ac:dyDescent="0.2">
      <c r="A2" s="1">
        <v>45673</v>
      </c>
      <c r="B2" s="1" t="s">
        <v>25</v>
      </c>
      <c r="C2">
        <v>43</v>
      </c>
      <c r="D2">
        <v>43</v>
      </c>
      <c r="E2" t="s">
        <v>15</v>
      </c>
      <c r="F2" t="s">
        <v>16</v>
      </c>
    </row>
    <row r="3" spans="1:7" x14ac:dyDescent="0.2">
      <c r="A3" s="1">
        <v>45687</v>
      </c>
      <c r="B3" t="s">
        <v>22</v>
      </c>
      <c r="C3">
        <v>41</v>
      </c>
      <c r="D3">
        <v>39</v>
      </c>
      <c r="E3" t="s">
        <v>24</v>
      </c>
      <c r="F3" t="s">
        <v>23</v>
      </c>
    </row>
    <row r="4" spans="1:7" x14ac:dyDescent="0.2">
      <c r="A4" s="1">
        <v>45700</v>
      </c>
      <c r="B4" t="s">
        <v>26</v>
      </c>
      <c r="C4">
        <v>39</v>
      </c>
      <c r="D4">
        <v>37</v>
      </c>
      <c r="E4" t="s">
        <v>29</v>
      </c>
      <c r="F4" t="s">
        <v>30</v>
      </c>
      <c r="G4" t="s">
        <v>28</v>
      </c>
    </row>
    <row r="5" spans="1:7" x14ac:dyDescent="0.2">
      <c r="A5" s="1">
        <v>45714</v>
      </c>
      <c r="B5" t="s">
        <v>31</v>
      </c>
      <c r="C5">
        <v>39</v>
      </c>
      <c r="D5">
        <v>39</v>
      </c>
      <c r="E5" t="s">
        <v>32</v>
      </c>
      <c r="F5" t="s">
        <v>33</v>
      </c>
      <c r="G5" t="s">
        <v>34</v>
      </c>
    </row>
    <row r="6" spans="1:7" x14ac:dyDescent="0.2">
      <c r="A6" s="1">
        <v>45728</v>
      </c>
      <c r="B6" t="s">
        <v>35</v>
      </c>
      <c r="C6">
        <v>41</v>
      </c>
      <c r="D6">
        <v>39</v>
      </c>
      <c r="E6" t="s">
        <v>36</v>
      </c>
      <c r="F6" t="s">
        <v>37</v>
      </c>
      <c r="G6" t="s">
        <v>38</v>
      </c>
    </row>
    <row r="7" spans="1:7" x14ac:dyDescent="0.2">
      <c r="A7" s="1">
        <v>45742</v>
      </c>
      <c r="B7" t="s">
        <v>35</v>
      </c>
      <c r="C7">
        <v>45</v>
      </c>
      <c r="D7">
        <v>41</v>
      </c>
      <c r="E7" t="s">
        <v>40</v>
      </c>
      <c r="F7" t="s">
        <v>41</v>
      </c>
    </row>
    <row r="8" spans="1:7" x14ac:dyDescent="0.2">
      <c r="A8" s="1">
        <v>45757</v>
      </c>
      <c r="B8" t="s">
        <v>35</v>
      </c>
      <c r="C8">
        <v>46</v>
      </c>
      <c r="D8" t="s">
        <v>42</v>
      </c>
      <c r="E8" t="s">
        <v>43</v>
      </c>
      <c r="F8" t="s">
        <v>44</v>
      </c>
      <c r="G8" t="s">
        <v>45</v>
      </c>
    </row>
    <row r="9" spans="1:7" x14ac:dyDescent="0.2">
      <c r="A9" s="1">
        <v>45773</v>
      </c>
      <c r="B9" t="s">
        <v>35</v>
      </c>
      <c r="C9" t="s">
        <v>46</v>
      </c>
      <c r="D9" t="s">
        <v>46</v>
      </c>
      <c r="E9" t="s">
        <v>47</v>
      </c>
      <c r="F9" t="s">
        <v>41</v>
      </c>
      <c r="G9" t="s">
        <v>48</v>
      </c>
    </row>
    <row r="11" spans="1:7" x14ac:dyDescent="0.2">
      <c r="A11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Taylor Lindsay</dc:creator>
  <cp:lastModifiedBy>Lindsay, Taylor R.</cp:lastModifiedBy>
  <dcterms:created xsi:type="dcterms:W3CDTF">2025-01-16T20:38:16Z</dcterms:created>
  <dcterms:modified xsi:type="dcterms:W3CDTF">2025-10-01T21:04:51Z</dcterms:modified>
</cp:coreProperties>
</file>